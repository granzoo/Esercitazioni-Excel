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erto\Desktop\PDF etc\Epicode - Data Analyst\M1 - Excel\Esercitazioni\"/>
    </mc:Choice>
  </mc:AlternateContent>
  <xr:revisionPtr revIDLastSave="0" documentId="13_ncr:1_{37656FBE-B9C7-44B2-91BA-D2A7EFB0B0E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/>
  <c r="D21" i="1" a="1"/>
  <c r="D21" i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/>
  <c r="D37" i="1" a="1"/>
  <c r="D37" i="1"/>
  <c r="D38" i="1" a="1"/>
  <c r="D38" i="1"/>
  <c r="D39" i="1" a="1"/>
  <c r="D39" i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 s="1"/>
  <c r="D99" i="1" a="1"/>
  <c r="D99" i="1" s="1"/>
  <c r="D100" i="1" a="1"/>
  <c r="D100" i="1" s="1"/>
  <c r="D101" i="1" a="1"/>
  <c r="D101" i="1" s="1"/>
  <c r="D2" i="1" a="1"/>
  <c r="D2" i="1" s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 s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 s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 s="1"/>
  <c r="C44" i="1" a="1"/>
  <c r="C44" i="1" s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 s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 s="1"/>
  <c r="C69" i="1" a="1"/>
  <c r="C69" i="1" s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<sst xmlns="http://schemas.openxmlformats.org/spreadsheetml/2006/main" count="162" uniqueCount="114">
  <si>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</si>
  <si>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</si>
  <si>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</si>
  <si>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</si>
  <si>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</si>
  <si>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</si>
  <si>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</si>
  <si>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</si>
  <si>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</si>
  <si>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</si>
  <si>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</si>
  <si>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</si>
  <si>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</si>
  <si>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</si>
  <si>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</si>
  <si>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</si>
  <si>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</si>
  <si>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</si>
  <si>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</si>
  <si>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</si>
  <si>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</si>
  <si>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</si>
  <si>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</si>
  <si>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</si>
  <si>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</si>
  <si>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</si>
  <si>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</si>
  <si>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</si>
  <si>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</si>
  <si>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</si>
  <si>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</si>
  <si>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</si>
  <si>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</si>
  <si>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</si>
  <si>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</si>
  <si>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</si>
  <si>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</si>
  <si>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</si>
  <si>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</si>
  <si>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</si>
  <si>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</si>
  <si>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</si>
  <si>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</si>
  <si>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</si>
  <si>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</si>
  <si>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</si>
  <si>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</si>
  <si>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</si>
  <si>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</si>
  <si>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</si>
  <si>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</si>
  <si>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</si>
  <si>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</si>
  <si>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</si>
  <si>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</si>
  <si>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</si>
  <si>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</si>
  <si>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</si>
  <si>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</si>
  <si>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</si>
  <si>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</si>
  <si>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</si>
  <si>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</si>
  <si>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</si>
  <si>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</si>
  <si>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</si>
  <si>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</si>
  <si>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</si>
  <si>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</si>
  <si>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</si>
  <si>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</si>
  <si>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</si>
  <si>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</si>
  <si>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</si>
  <si>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</si>
  <si>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</si>
  <si>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</si>
  <si>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</si>
  <si>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</si>
  <si>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</si>
  <si>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</si>
  <si>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</si>
  <si>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</si>
  <si>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</si>
  <si>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</si>
  <si>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</si>
  <si>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</si>
  <si>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</si>
  <si>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</si>
  <si>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</si>
  <si>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</si>
  <si>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</si>
  <si>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</si>
  <si>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</si>
  <si>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</si>
  <si>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</si>
  <si>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</si>
  <si>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</si>
  <si>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</si>
  <si>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</si>
  <si>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</si>
  <si>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</si>
  <si>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</si>
  <si>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</si>
  <si>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</si>
  <si>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</si>
  <si>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</si>
  <si>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</si>
  <si>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</si>
  <si>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</si>
  <si>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ATTRIBUTO</t>
  </si>
  <si>
    <t>CONTEGGIO</t>
  </si>
  <si>
    <t>TOTALE PESO</t>
  </si>
  <si>
    <t>TOTALE VENDITE PESO&gt;80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</si>
</sst>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10]_-;\-* #,##0.00\ [$€-410]_-;_-* &quot;-&quot;??\ [$€-410]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1" applyNumberFormat="1" applyFont="1"/>
    <xf numFmtId="0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F12" sqref="F12"/>
    </sheetView>
  </sheetViews>
  <sheetFormatPr defaultColWidth="12.6640625" defaultRowHeight="15.75" customHeight="1" x14ac:dyDescent="0.25"/>
  <cols>
    <col min="1" max="1" width="13.21875" customWidth="1"/>
    <col min="2" max="2" width="22.33203125" bestFit="1" customWidth="1"/>
    <col min="3" max="3" width="22" style="6" bestFit="1" customWidth="1"/>
    <col min="4" max="4" width="8.44140625" bestFit="1" customWidth="1"/>
  </cols>
  <sheetData>
    <row r="1" spans="1:26" x14ac:dyDescent="0.25">
      <c r="A1" s="5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4</v>
      </c>
      <c r="B2" s="4">
        <v>1.5</v>
      </c>
      <c r="C2" s="6" t="str" cm="1">
        <f t="array" ref="C2">_xlfn.IFS(AND(LEFT(A2,1)&gt;="A",LEFT(A2,1)&lt;="F"),"0",AND(LEFT(A2,1)&gt;="G",LEFT(A2,1)&lt;="M"),"1",AND(LEFT(A2,1)&gt;="N",LEFT(A2,1)&lt;="Z"),"2")</f>
        <v>0</v>
      </c>
      <c r="D2" s="3" cm="1">
        <f t="array" ref="D2">_xlfn.IFS(C2="0",4*B2,C2="1",3*B2,C2="2",2*B2)</f>
        <v>6</v>
      </c>
    </row>
    <row r="3" spans="1:26" x14ac:dyDescent="0.25">
      <c r="A3" s="2" t="s">
        <v>5</v>
      </c>
      <c r="B3" s="4">
        <v>2.5</v>
      </c>
      <c r="C3" s="6" t="str" cm="1">
        <f t="array" ref="C3">_xlfn.IFS(AND(LEFT(A3,1)&gt;="A",LEFT(A3,1)&lt;="F"),"0",AND(LEFT(A3,1)&gt;="G",LEFT(A3,1)&lt;="M"),"1",AND(LEFT(A3,1)&gt;="N",LEFT(A3,1)&lt;="Z"),"2")</f>
        <v>1</v>
      </c>
      <c r="D3" s="3" cm="1">
        <f t="array" ref="D3">_xlfn.IFS(C3="0",4*B3,C3="1",3*B3,C3="2",2*B3)</f>
        <v>7.5</v>
      </c>
    </row>
    <row r="4" spans="1:26" x14ac:dyDescent="0.25">
      <c r="A4" s="2" t="s">
        <v>6</v>
      </c>
      <c r="B4" s="4">
        <v>3.5</v>
      </c>
      <c r="C4" s="6" t="str" cm="1">
        <f t="array" ref="C4">_xlfn.IFS(AND(LEFT(A4,1)&gt;="A",LEFT(A4,1)&lt;="F"),"0",AND(LEFT(A4,1)&gt;="G",LEFT(A4,1)&lt;="M"),"1",AND(LEFT(A4,1)&gt;="N",LEFT(A4,1)&lt;="Z"),"2")</f>
        <v>2</v>
      </c>
      <c r="D4" s="3" cm="1">
        <f t="array" ref="D4">_xlfn.IFS(C4="0",4*B4,C4="1",3*B4,C4="2",2*B4)</f>
        <v>7</v>
      </c>
    </row>
    <row r="5" spans="1:26" x14ac:dyDescent="0.25">
      <c r="A5" s="2" t="s">
        <v>7</v>
      </c>
      <c r="B5" s="4">
        <v>4.5</v>
      </c>
      <c r="C5" s="6" t="str" cm="1">
        <f t="array" ref="C5">_xlfn.IFS(AND(LEFT(A5,1)&gt;="A",LEFT(A5,1)&lt;="F"),"0",AND(LEFT(A5,1)&gt;="G",LEFT(A5,1)&lt;="M"),"1",AND(LEFT(A5,1)&gt;="N",LEFT(A5,1)&lt;="Z"),"2")</f>
        <v>2</v>
      </c>
      <c r="D5" s="3" cm="1">
        <f t="array" ref="D5">_xlfn.IFS(C5="0",4*B5,C5="1",3*B5,C5="2",2*B5)</f>
        <v>9</v>
      </c>
    </row>
    <row r="6" spans="1:26" x14ac:dyDescent="0.25">
      <c r="A6" s="2" t="s">
        <v>8</v>
      </c>
      <c r="B6" s="4">
        <v>5.5</v>
      </c>
      <c r="C6" s="6" t="str" cm="1">
        <f t="array" ref="C6">_xlfn.IFS(AND(LEFT(A6,1)&gt;="A",LEFT(A6,1)&lt;="F"),"0",AND(LEFT(A6,1)&gt;="G",LEFT(A6,1)&lt;="M"),"1",AND(LEFT(A6,1)&gt;="N",LEFT(A6,1)&lt;="Z"),"2")</f>
        <v>2</v>
      </c>
      <c r="D6" s="3" cm="1">
        <f t="array" ref="D6">_xlfn.IFS(C6="0",4*B6,C6="1",3*B6,C6="2",2*B6)</f>
        <v>11</v>
      </c>
    </row>
    <row r="7" spans="1:26" x14ac:dyDescent="0.25">
      <c r="A7" s="2" t="s">
        <v>9</v>
      </c>
      <c r="B7" s="4">
        <v>6.5</v>
      </c>
      <c r="C7" s="6" t="str" cm="1">
        <f t="array" ref="C7">_xlfn.IFS(AND(LEFT(A7,1)&gt;="A",LEFT(A7,1)&lt;="F"),"0",AND(LEFT(A7,1)&gt;="G",LEFT(A7,1)&lt;="M"),"1",AND(LEFT(A7,1)&gt;="N",LEFT(A7,1)&lt;="Z"),"2")</f>
        <v>2</v>
      </c>
      <c r="D7" s="3" cm="1">
        <f t="array" ref="D7">_xlfn.IFS(C7="0",4*B7,C7="1",3*B7,C7="2",2*B7)</f>
        <v>13</v>
      </c>
    </row>
    <row r="8" spans="1:26" x14ac:dyDescent="0.25">
      <c r="A8" s="2" t="s">
        <v>10</v>
      </c>
      <c r="B8" s="4">
        <v>7.5</v>
      </c>
      <c r="C8" s="6" t="str" cm="1">
        <f t="array" ref="C8">_xlfn.IFS(AND(LEFT(A8,1)&gt;="A",LEFT(A8,1)&lt;="F"),"0",AND(LEFT(A8,1)&gt;="G",LEFT(A8,1)&lt;="M"),"1",AND(LEFT(A8,1)&gt;="N",LEFT(A8,1)&lt;="Z"),"2")</f>
        <v>0</v>
      </c>
      <c r="D8" s="3" cm="1">
        <f t="array" ref="D8">_xlfn.IFS(C8="0",4*B8,C8="1",3*B8,C8="2",2*B8)</f>
        <v>30</v>
      </c>
    </row>
    <row r="9" spans="1:26" x14ac:dyDescent="0.25">
      <c r="A9" s="2" t="s">
        <v>11</v>
      </c>
      <c r="B9" s="4">
        <v>8.5</v>
      </c>
      <c r="C9" s="6" t="str" cm="1">
        <f t="array" ref="C9">_xlfn.IFS(AND(LEFT(A9,1)&gt;="A",LEFT(A9,1)&lt;="F"),"0",AND(LEFT(A9,1)&gt;="G",LEFT(A9,1)&lt;="M"),"1",AND(LEFT(A9,1)&gt;="N",LEFT(A9,1)&lt;="Z"),"2")</f>
        <v>0</v>
      </c>
      <c r="D9" s="3" cm="1">
        <f t="array" ref="D9">_xlfn.IFS(C9="0",4*B9,C9="1",3*B9,C9="2",2*B9)</f>
        <v>34</v>
      </c>
    </row>
    <row r="10" spans="1:26" x14ac:dyDescent="0.25">
      <c r="A10" s="2" t="s">
        <v>12</v>
      </c>
      <c r="B10" s="4">
        <v>9.5</v>
      </c>
      <c r="C10" s="6" t="str" cm="1">
        <f t="array" ref="C10">_xlfn.IFS(AND(LEFT(A10,1)&gt;="A",LEFT(A10,1)&lt;="F"),"0",AND(LEFT(A10,1)&gt;="G",LEFT(A10,1)&lt;="M"),"1",AND(LEFT(A10,1)&gt;="N",LEFT(A10,1)&lt;="Z"),"2")</f>
        <v>0</v>
      </c>
      <c r="D10" s="3" cm="1">
        <f t="array" ref="D10">_xlfn.IFS(C10="0",4*B10,C10="1",3*B10,C10="2",2*B10)</f>
        <v>38</v>
      </c>
    </row>
    <row r="11" spans="1:26" x14ac:dyDescent="0.25">
      <c r="A11" s="2" t="s">
        <v>13</v>
      </c>
      <c r="B11" s="4">
        <v>10</v>
      </c>
      <c r="C11" s="6" t="str" cm="1">
        <f t="array" ref="C11">_xlfn.IFS(AND(LEFT(A11,1)&gt;="A",LEFT(A11,1)&lt;="F"),"0",AND(LEFT(A11,1)&gt;="G",LEFT(A11,1)&lt;="M"),"1",AND(LEFT(A11,1)&gt;="N",LEFT(A11,1)&lt;="Z"),"2")</f>
        <v>1</v>
      </c>
      <c r="D11" s="3" cm="1">
        <f t="array" ref="D11">_xlfn.IFS(C11="0",4*B11,C11="1",3*B11,C11="2",2*B11)</f>
        <v>30</v>
      </c>
    </row>
    <row r="12" spans="1:26" x14ac:dyDescent="0.25">
      <c r="A12" s="2" t="s">
        <v>14</v>
      </c>
      <c r="B12" s="4">
        <v>0.5</v>
      </c>
      <c r="C12" s="6" t="str" cm="1">
        <f t="array" ref="C12">_xlfn.IFS(AND(LEFT(A12,1)&gt;="A",LEFT(A12,1)&lt;="F"),"0",AND(LEFT(A12,1)&gt;="G",LEFT(A12,1)&lt;="M"),"1",AND(LEFT(A12,1)&gt;="N",LEFT(A12,1)&lt;="Z"),"2")</f>
        <v>1</v>
      </c>
      <c r="D12" s="3" cm="1">
        <f t="array" ref="D12">_xlfn.IFS(C12="0",4*B12,C12="1",3*B12,C12="2",2*B12)</f>
        <v>1.5</v>
      </c>
    </row>
    <row r="13" spans="1:26" x14ac:dyDescent="0.25">
      <c r="A13" s="2" t="s">
        <v>15</v>
      </c>
      <c r="B13" s="4">
        <v>1</v>
      </c>
      <c r="C13" s="6" t="str" cm="1">
        <f t="array" ref="C13">_xlfn.IFS(AND(LEFT(A13,1)&gt;="A",LEFT(A13,1)&lt;="F"),"0",AND(LEFT(A13,1)&gt;="G",LEFT(A13,1)&lt;="M"),"1",AND(LEFT(A13,1)&gt;="N",LEFT(A13,1)&lt;="Z"),"2")</f>
        <v>1</v>
      </c>
      <c r="D13" s="3" cm="1">
        <f t="array" ref="D13">_xlfn.IFS(C13="0",4*B13,C13="1",3*B13,C13="2",2*B13)</f>
        <v>3</v>
      </c>
    </row>
    <row r="14" spans="1:26" x14ac:dyDescent="0.25">
      <c r="A14" s="2" t="s">
        <v>16</v>
      </c>
      <c r="B14" s="4">
        <v>2</v>
      </c>
      <c r="C14" s="6" t="str" cm="1">
        <f t="array" ref="C14">_xlfn.IFS(AND(LEFT(A14,1)&gt;="A",LEFT(A14,1)&lt;="F"),"0",AND(LEFT(A14,1)&gt;="G",LEFT(A14,1)&lt;="M"),"1",AND(LEFT(A14,1)&gt;="N",LEFT(A14,1)&lt;="Z"),"2")</f>
        <v>1</v>
      </c>
      <c r="D14" s="3" cm="1">
        <f t="array" ref="D14">_xlfn.IFS(C14="0",4*B14,C14="1",3*B14,C14="2",2*B14)</f>
        <v>6</v>
      </c>
    </row>
    <row r="15" spans="1:26" x14ac:dyDescent="0.25">
      <c r="A15" s="2" t="s">
        <v>17</v>
      </c>
      <c r="B15" s="4">
        <v>3</v>
      </c>
      <c r="C15" s="6" t="str" cm="1">
        <f t="array" ref="C15">_xlfn.IFS(AND(LEFT(A15,1)&gt;="A",LEFT(A15,1)&lt;="F"),"0",AND(LEFT(A15,1)&gt;="G",LEFT(A15,1)&lt;="M"),"1",AND(LEFT(A15,1)&gt;="N",LEFT(A15,1)&lt;="Z"),"2")</f>
        <v>2</v>
      </c>
      <c r="D15" s="3" cm="1">
        <f t="array" ref="D15">_xlfn.IFS(C15="0",4*B15,C15="1",3*B15,C15="2",2*B15)</f>
        <v>6</v>
      </c>
    </row>
    <row r="16" spans="1:26" x14ac:dyDescent="0.25">
      <c r="A16" s="2" t="s">
        <v>18</v>
      </c>
      <c r="B16" s="4">
        <v>4</v>
      </c>
      <c r="C16" s="6" t="str" cm="1">
        <f t="array" ref="C16">_xlfn.IFS(AND(LEFT(A16,1)&gt;="A",LEFT(A16,1)&lt;="F"),"0",AND(LEFT(A16,1)&gt;="G",LEFT(A16,1)&lt;="M"),"1",AND(LEFT(A16,1)&gt;="N",LEFT(A16,1)&lt;="Z"),"2")</f>
        <v>2</v>
      </c>
      <c r="D16" s="3" cm="1">
        <f t="array" ref="D16">_xlfn.IFS(C16="0",4*B16,C16="1",3*B16,C16="2",2*B16)</f>
        <v>8</v>
      </c>
    </row>
    <row r="17" spans="1:4" x14ac:dyDescent="0.25">
      <c r="A17" s="2" t="s">
        <v>19</v>
      </c>
      <c r="B17" s="4">
        <v>5</v>
      </c>
      <c r="C17" s="6" t="str" cm="1">
        <f t="array" ref="C17">_xlfn.IFS(AND(LEFT(A17,1)&gt;="A",LEFT(A17,1)&lt;="F"),"0",AND(LEFT(A17,1)&gt;="G",LEFT(A17,1)&lt;="M"),"1",AND(LEFT(A17,1)&gt;="N",LEFT(A17,1)&lt;="Z"),"2")</f>
        <v>2</v>
      </c>
      <c r="D17" s="3" cm="1">
        <f t="array" ref="D17">_xlfn.IFS(C17="0",4*B17,C17="1",3*B17,C17="2",2*B17)</f>
        <v>10</v>
      </c>
    </row>
    <row r="18" spans="1:4" x14ac:dyDescent="0.25">
      <c r="A18" s="2" t="s">
        <v>20</v>
      </c>
      <c r="B18" s="4">
        <v>6</v>
      </c>
      <c r="C18" s="6" t="str" cm="1">
        <f t="array" ref="C18">_xlfn.IFS(AND(LEFT(A18,1)&gt;="A",LEFT(A18,1)&lt;="F"),"0",AND(LEFT(A18,1)&gt;="G",LEFT(A18,1)&lt;="M"),"1",AND(LEFT(A18,1)&gt;="N",LEFT(A18,1)&lt;="Z"),"2")</f>
        <v>2</v>
      </c>
      <c r="D18" s="3" cm="1">
        <f t="array" ref="D18">_xlfn.IFS(C18="0",4*B18,C18="1",3*B18,C18="2",2*B18)</f>
        <v>12</v>
      </c>
    </row>
    <row r="19" spans="1:4" x14ac:dyDescent="0.25">
      <c r="A19" s="2" t="s">
        <v>21</v>
      </c>
      <c r="B19" s="4">
        <v>7</v>
      </c>
      <c r="C19" s="6" t="str" cm="1">
        <f t="array" ref="C19">_xlfn.IFS(AND(LEFT(A19,1)&gt;="A",LEFT(A19,1)&lt;="F"),"0",AND(LEFT(A19,1)&gt;="G",LEFT(A19,1)&lt;="M"),"1",AND(LEFT(A19,1)&gt;="N",LEFT(A19,1)&lt;="Z"),"2")</f>
        <v>2</v>
      </c>
      <c r="D19" s="3" cm="1">
        <f t="array" ref="D19">_xlfn.IFS(C19="0",4*B19,C19="1",3*B19,C19="2",2*B19)</f>
        <v>14</v>
      </c>
    </row>
    <row r="20" spans="1:4" x14ac:dyDescent="0.25">
      <c r="A20" s="2" t="s">
        <v>22</v>
      </c>
      <c r="B20" s="4">
        <v>8</v>
      </c>
      <c r="C20" s="6" t="str" cm="1">
        <f t="array" ref="C20">_xlfn.IFS(AND(LEFT(A20,1)&gt;="A",LEFT(A20,1)&lt;="F"),"0",AND(LEFT(A20,1)&gt;="G",LEFT(A20,1)&lt;="M"),"1",AND(LEFT(A20,1)&gt;="N",LEFT(A20,1)&lt;="Z"),"2")</f>
        <v>2</v>
      </c>
      <c r="D20" s="3" cm="1">
        <f t="array" ref="D20">_xlfn.IFS(C20="0",4*B20,C20="1",3*B20,C20="2",2*B20)</f>
        <v>16</v>
      </c>
    </row>
    <row r="21" spans="1:4" x14ac:dyDescent="0.25">
      <c r="A21" s="2" t="s">
        <v>23</v>
      </c>
      <c r="B21" s="4">
        <v>9</v>
      </c>
      <c r="C21" s="6" t="str" cm="1">
        <f t="array" ref="C21">_xlfn.IFS(AND(LEFT(A21,1)&gt;="A",LEFT(A21,1)&lt;="F"),"0",AND(LEFT(A21,1)&gt;="G",LEFT(A21,1)&lt;="M"),"1",AND(LEFT(A21,1)&gt;="N",LEFT(A21,1)&lt;="Z"),"2")</f>
        <v>0</v>
      </c>
      <c r="D21" s="3" cm="1">
        <f t="array" ref="D21">_xlfn.IFS(C21="0",4*B21,C21="1",3*B21,C21="2",2*B21)</f>
        <v>36</v>
      </c>
    </row>
    <row r="22" spans="1:4" x14ac:dyDescent="0.25">
      <c r="A22" s="2" t="s">
        <v>24</v>
      </c>
      <c r="B22" s="4">
        <v>10</v>
      </c>
      <c r="C22" s="6" t="str" cm="1">
        <f t="array" ref="C22">_xlfn.IFS(AND(LEFT(A22,1)&gt;="A",LEFT(A22,1)&lt;="F"),"0",AND(LEFT(A22,1)&gt;="G",LEFT(A22,1)&lt;="M"),"1",AND(LEFT(A22,1)&gt;="N",LEFT(A22,1)&lt;="Z"),"2")</f>
        <v>0</v>
      </c>
      <c r="D22" s="3" cm="1">
        <f t="array" ref="D22">_xlfn.IFS(C22="0",4*B22,C22="1",3*B22,C22="2",2*B22)</f>
        <v>40</v>
      </c>
    </row>
    <row r="23" spans="1:4" x14ac:dyDescent="0.25">
      <c r="A23" s="2" t="s">
        <v>25</v>
      </c>
      <c r="B23" s="4">
        <v>0.5</v>
      </c>
      <c r="C23" s="6" t="str" cm="1">
        <f t="array" ref="C23">_xlfn.IFS(AND(LEFT(A23,1)&gt;="A",LEFT(A23,1)&lt;="F"),"0",AND(LEFT(A23,1)&gt;="G",LEFT(A23,1)&lt;="M"),"1",AND(LEFT(A23,1)&gt;="N",LEFT(A23,1)&lt;="Z"),"2")</f>
        <v>0</v>
      </c>
      <c r="D23" s="3" cm="1">
        <f t="array" ref="D23">_xlfn.IFS(C23="0",4*B23,C23="1",3*B23,C23="2",2*B23)</f>
        <v>2</v>
      </c>
    </row>
    <row r="24" spans="1:4" x14ac:dyDescent="0.25">
      <c r="A24" s="2" t="s">
        <v>26</v>
      </c>
      <c r="B24" s="4">
        <v>1</v>
      </c>
      <c r="C24" s="6" t="str" cm="1">
        <f t="array" ref="C24">_xlfn.IFS(AND(LEFT(A24,1)&gt;="A",LEFT(A24,1)&lt;="F"),"0",AND(LEFT(A24,1)&gt;="G",LEFT(A24,1)&lt;="M"),"1",AND(LEFT(A24,1)&gt;="N",LEFT(A24,1)&lt;="Z"),"2")</f>
        <v>1</v>
      </c>
      <c r="D24" s="3" cm="1">
        <f t="array" ref="D24">_xlfn.IFS(C24="0",4*B24,C24="1",3*B24,C24="2",2*B24)</f>
        <v>3</v>
      </c>
    </row>
    <row r="25" spans="1:4" x14ac:dyDescent="0.25">
      <c r="A25" s="2" t="s">
        <v>27</v>
      </c>
      <c r="B25" s="4">
        <v>2</v>
      </c>
      <c r="C25" s="6" t="str" cm="1">
        <f t="array" ref="C25">_xlfn.IFS(AND(LEFT(A25,1)&gt;="A",LEFT(A25,1)&lt;="F"),"0",AND(LEFT(A25,1)&gt;="G",LEFT(A25,1)&lt;="M"),"1",AND(LEFT(A25,1)&gt;="N",LEFT(A25,1)&lt;="Z"),"2")</f>
        <v>1</v>
      </c>
      <c r="D25" s="3" cm="1">
        <f t="array" ref="D25">_xlfn.IFS(C25="0",4*B25,C25="1",3*B25,C25="2",2*B25)</f>
        <v>6</v>
      </c>
    </row>
    <row r="26" spans="1:4" x14ac:dyDescent="0.25">
      <c r="A26" s="2" t="s">
        <v>28</v>
      </c>
      <c r="B26" s="4">
        <v>3</v>
      </c>
      <c r="C26" s="6" t="str" cm="1">
        <f t="array" ref="C26">_xlfn.IFS(AND(LEFT(A26,1)&gt;="A",LEFT(A26,1)&lt;="F"),"0",AND(LEFT(A26,1)&gt;="G",LEFT(A26,1)&lt;="M"),"1",AND(LEFT(A26,1)&gt;="N",LEFT(A26,1)&lt;="Z"),"2")</f>
        <v>1</v>
      </c>
      <c r="D26" s="3" cm="1">
        <f t="array" ref="D26">_xlfn.IFS(C26="0",4*B26,C26="1",3*B26,C26="2",2*B26)</f>
        <v>9</v>
      </c>
    </row>
    <row r="27" spans="1:4" x14ac:dyDescent="0.25">
      <c r="A27" s="2" t="s">
        <v>29</v>
      </c>
      <c r="B27" s="4">
        <v>4</v>
      </c>
      <c r="C27" s="6" t="str" cm="1">
        <f t="array" ref="C27">_xlfn.IFS(AND(LEFT(A27,1)&gt;="A",LEFT(A27,1)&lt;="F"),"0",AND(LEFT(A27,1)&gt;="G",LEFT(A27,1)&lt;="M"),"1",AND(LEFT(A27,1)&gt;="N",LEFT(A27,1)&lt;="Z"),"2")</f>
        <v>1</v>
      </c>
      <c r="D27" s="3" cm="1">
        <f t="array" ref="D27">_xlfn.IFS(C27="0",4*B27,C27="1",3*B27,C27="2",2*B27)</f>
        <v>12</v>
      </c>
    </row>
    <row r="28" spans="1:4" x14ac:dyDescent="0.25">
      <c r="A28" s="2" t="s">
        <v>30</v>
      </c>
      <c r="B28" s="4">
        <v>5</v>
      </c>
      <c r="C28" s="6" t="str" cm="1">
        <f t="array" ref="C28">_xlfn.IFS(AND(LEFT(A28,1)&gt;="A",LEFT(A28,1)&lt;="F"),"0",AND(LEFT(A28,1)&gt;="G",LEFT(A28,1)&lt;="M"),"1",AND(LEFT(A28,1)&gt;="N",LEFT(A28,1)&lt;="Z"),"2")</f>
        <v>2</v>
      </c>
      <c r="D28" s="3" cm="1">
        <f t="array" ref="D28">_xlfn.IFS(C28="0",4*B28,C28="1",3*B28,C28="2",2*B28)</f>
        <v>10</v>
      </c>
    </row>
    <row r="29" spans="1:4" x14ac:dyDescent="0.25">
      <c r="A29" s="2" t="s">
        <v>31</v>
      </c>
      <c r="B29" s="4">
        <v>6</v>
      </c>
      <c r="C29" s="6" t="str" cm="1">
        <f t="array" ref="C29">_xlfn.IFS(AND(LEFT(A29,1)&gt;="A",LEFT(A29,1)&lt;="F"),"0",AND(LEFT(A29,1)&gt;="G",LEFT(A29,1)&lt;="M"),"1",AND(LEFT(A29,1)&gt;="N",LEFT(A29,1)&lt;="Z"),"2")</f>
        <v>2</v>
      </c>
      <c r="D29" s="3" cm="1">
        <f t="array" ref="D29">_xlfn.IFS(C29="0",4*B29,C29="1",3*B29,C29="2",2*B29)</f>
        <v>12</v>
      </c>
    </row>
    <row r="30" spans="1:4" x14ac:dyDescent="0.25">
      <c r="A30" s="2" t="s">
        <v>32</v>
      </c>
      <c r="B30" s="4">
        <v>7</v>
      </c>
      <c r="C30" s="6" t="str" cm="1">
        <f t="array" ref="C30">_xlfn.IFS(AND(LEFT(A30,1)&gt;="A",LEFT(A30,1)&lt;="F"),"0",AND(LEFT(A30,1)&gt;="G",LEFT(A30,1)&lt;="M"),"1",AND(LEFT(A30,1)&gt;="N",LEFT(A30,1)&lt;="Z"),"2")</f>
        <v>2</v>
      </c>
      <c r="D30" s="3" cm="1">
        <f t="array" ref="D30">_xlfn.IFS(C30="0",4*B30,C30="1",3*B30,C30="2",2*B30)</f>
        <v>14</v>
      </c>
    </row>
    <row r="31" spans="1:4" x14ac:dyDescent="0.25">
      <c r="A31" s="2" t="s">
        <v>33</v>
      </c>
      <c r="B31" s="4">
        <v>8</v>
      </c>
      <c r="C31" s="6" t="str" cm="1">
        <f t="array" ref="C31">_xlfn.IFS(AND(LEFT(A31,1)&gt;="A",LEFT(A31,1)&lt;="F"),"0",AND(LEFT(A31,1)&gt;="G",LEFT(A31,1)&lt;="M"),"1",AND(LEFT(A31,1)&gt;="N",LEFT(A31,1)&lt;="Z"),"2")</f>
        <v>2</v>
      </c>
      <c r="D31" s="3" cm="1">
        <f t="array" ref="D31">_xlfn.IFS(C31="0",4*B31,C31="1",3*B31,C31="2",2*B31)</f>
        <v>16</v>
      </c>
    </row>
    <row r="32" spans="1:4" x14ac:dyDescent="0.25">
      <c r="A32" s="2" t="s">
        <v>34</v>
      </c>
      <c r="B32" s="4">
        <v>9</v>
      </c>
      <c r="C32" s="6" t="str" cm="1">
        <f t="array" ref="C32">_xlfn.IFS(AND(LEFT(A32,1)&gt;="A",LEFT(A32,1)&lt;="F"),"0",AND(LEFT(A32,1)&gt;="G",LEFT(A32,1)&lt;="M"),"1",AND(LEFT(A32,1)&gt;="N",LEFT(A32,1)&lt;="Z"),"2")</f>
        <v>2</v>
      </c>
      <c r="D32" s="3" cm="1">
        <f t="array" ref="D32">_xlfn.IFS(C32="0",4*B32,C32="1",3*B32,C32="2",2*B32)</f>
        <v>18</v>
      </c>
    </row>
    <row r="33" spans="1:4" x14ac:dyDescent="0.25">
      <c r="A33" s="2" t="s">
        <v>35</v>
      </c>
      <c r="B33" s="4">
        <v>10</v>
      </c>
      <c r="C33" s="6" t="str" cm="1">
        <f t="array" ref="C33">_xlfn.IFS(AND(LEFT(A33,1)&gt;="A",LEFT(A33,1)&lt;="F"),"0",AND(LEFT(A33,1)&gt;="G",LEFT(A33,1)&lt;="M"),"1",AND(LEFT(A33,1)&gt;="N",LEFT(A33,1)&lt;="Z"),"2")</f>
        <v>2</v>
      </c>
      <c r="D33" s="3" cm="1">
        <f t="array" ref="D33">_xlfn.IFS(C33="0",4*B33,C33="1",3*B33,C33="2",2*B33)</f>
        <v>20</v>
      </c>
    </row>
    <row r="34" spans="1:4" x14ac:dyDescent="0.25">
      <c r="A34" s="2" t="s">
        <v>36</v>
      </c>
      <c r="B34" s="4">
        <v>0.5</v>
      </c>
      <c r="C34" s="6" t="str" cm="1">
        <f t="array" ref="C34">_xlfn.IFS(AND(LEFT(A34,1)&gt;="A",LEFT(A34,1)&lt;="F"),"0",AND(LEFT(A34,1)&gt;="G",LEFT(A34,1)&lt;="M"),"1",AND(LEFT(A34,1)&gt;="N",LEFT(A34,1)&lt;="Z"),"2")</f>
        <v>0</v>
      </c>
      <c r="D34" s="3" cm="1">
        <f t="array" ref="D34">_xlfn.IFS(C34="0",4*B34,C34="1",3*B34,C34="2",2*B34)</f>
        <v>2</v>
      </c>
    </row>
    <row r="35" spans="1:4" x14ac:dyDescent="0.25">
      <c r="A35" s="2" t="s">
        <v>37</v>
      </c>
      <c r="B35" s="4">
        <v>1</v>
      </c>
      <c r="C35" s="6" t="str" cm="1">
        <f t="array" ref="C35">_xlfn.IFS(AND(LEFT(A35,1)&gt;="A",LEFT(A35,1)&lt;="F"),"0",AND(LEFT(A35,1)&gt;="G",LEFT(A35,1)&lt;="M"),"1",AND(LEFT(A35,1)&gt;="N",LEFT(A35,1)&lt;="Z"),"2")</f>
        <v>0</v>
      </c>
      <c r="D35" s="3" cm="1">
        <f t="array" ref="D35">_xlfn.IFS(C35="0",4*B35,C35="1",3*B35,C35="2",2*B35)</f>
        <v>4</v>
      </c>
    </row>
    <row r="36" spans="1:4" x14ac:dyDescent="0.25">
      <c r="A36" s="2" t="s">
        <v>38</v>
      </c>
      <c r="B36" s="4">
        <v>2</v>
      </c>
      <c r="C36" s="6" t="str" cm="1">
        <f t="array" ref="C36">_xlfn.IFS(AND(LEFT(A36,1)&gt;="A",LEFT(A36,1)&lt;="F"),"0",AND(LEFT(A36,1)&gt;="G",LEFT(A36,1)&lt;="M"),"1",AND(LEFT(A36,1)&gt;="N",LEFT(A36,1)&lt;="Z"),"2")</f>
        <v>0</v>
      </c>
      <c r="D36" s="3" cm="1">
        <f t="array" ref="D36">_xlfn.IFS(C36="0",4*B36,C36="1",3*B36,C36="2",2*B36)</f>
        <v>8</v>
      </c>
    </row>
    <row r="37" spans="1:4" x14ac:dyDescent="0.25">
      <c r="A37" s="2" t="s">
        <v>39</v>
      </c>
      <c r="B37" s="4">
        <v>3</v>
      </c>
      <c r="C37" s="6" t="str" cm="1">
        <f t="array" ref="C37">_xlfn.IFS(AND(LEFT(A37,1)&gt;="A",LEFT(A37,1)&lt;="F"),"0",AND(LEFT(A37,1)&gt;="G",LEFT(A37,1)&lt;="M"),"1",AND(LEFT(A37,1)&gt;="N",LEFT(A37,1)&lt;="Z"),"2")</f>
        <v>1</v>
      </c>
      <c r="D37" s="3" cm="1">
        <f t="array" ref="D37">_xlfn.IFS(C37="0",4*B37,C37="1",3*B37,C37="2",2*B37)</f>
        <v>9</v>
      </c>
    </row>
    <row r="38" spans="1:4" x14ac:dyDescent="0.25">
      <c r="A38" s="2" t="s">
        <v>40</v>
      </c>
      <c r="B38" s="4">
        <v>4</v>
      </c>
      <c r="C38" s="6" t="str" cm="1">
        <f t="array" ref="C38">_xlfn.IFS(AND(LEFT(A38,1)&gt;="A",LEFT(A38,1)&lt;="F"),"0",AND(LEFT(A38,1)&gt;="G",LEFT(A38,1)&lt;="M"),"1",AND(LEFT(A38,1)&gt;="N",LEFT(A38,1)&lt;="Z"),"2")</f>
        <v>1</v>
      </c>
      <c r="D38" s="3" cm="1">
        <f t="array" ref="D38">_xlfn.IFS(C38="0",4*B38,C38="1",3*B38,C38="2",2*B38)</f>
        <v>12</v>
      </c>
    </row>
    <row r="39" spans="1:4" x14ac:dyDescent="0.25">
      <c r="A39" s="2" t="s">
        <v>41</v>
      </c>
      <c r="B39" s="4">
        <v>5</v>
      </c>
      <c r="C39" s="6" t="str" cm="1">
        <f t="array" ref="C39">_xlfn.IFS(AND(LEFT(A39,1)&gt;="A",LEFT(A39,1)&lt;="F"),"0",AND(LEFT(A39,1)&gt;="G",LEFT(A39,1)&lt;="M"),"1",AND(LEFT(A39,1)&gt;="N",LEFT(A39,1)&lt;="Z"),"2")</f>
        <v>1</v>
      </c>
      <c r="D39" s="3" cm="1">
        <f t="array" ref="D39">_xlfn.IFS(C39="0",4*B39,C39="1",3*B39,C39="2",2*B39)</f>
        <v>15</v>
      </c>
    </row>
    <row r="40" spans="1:4" x14ac:dyDescent="0.25">
      <c r="A40" s="2" t="s">
        <v>42</v>
      </c>
      <c r="B40" s="4">
        <v>6</v>
      </c>
      <c r="C40" s="6" t="str" cm="1">
        <f t="array" ref="C40">_xlfn.IFS(AND(LEFT(A40,1)&gt;="A",LEFT(A40,1)&lt;="F"),"0",AND(LEFT(A40,1)&gt;="G",LEFT(A40,1)&lt;="M"),"1",AND(LEFT(A40,1)&gt;="N",LEFT(A40,1)&lt;="Z"),"2")</f>
        <v>1</v>
      </c>
      <c r="D40" s="3" cm="1">
        <f t="array" ref="D40">_xlfn.IFS(C40="0",4*B40,C40="1",3*B40,C40="2",2*B40)</f>
        <v>18</v>
      </c>
    </row>
    <row r="41" spans="1:4" x14ac:dyDescent="0.25">
      <c r="A41" s="2" t="s">
        <v>43</v>
      </c>
      <c r="B41" s="4">
        <v>7</v>
      </c>
      <c r="C41" s="6" t="str" cm="1">
        <f t="array" ref="C41">_xlfn.IFS(AND(LEFT(A41,1)&gt;="A",LEFT(A41,1)&lt;="F"),"0",AND(LEFT(A41,1)&gt;="G",LEFT(A41,1)&lt;="M"),"1",AND(LEFT(A41,1)&gt;="N",LEFT(A41,1)&lt;="Z"),"2")</f>
        <v>2</v>
      </c>
      <c r="D41" s="3" cm="1">
        <f t="array" ref="D41">_xlfn.IFS(C41="0",4*B41,C41="1",3*B41,C41="2",2*B41)</f>
        <v>14</v>
      </c>
    </row>
    <row r="42" spans="1:4" x14ac:dyDescent="0.25">
      <c r="A42" s="2" t="s">
        <v>44</v>
      </c>
      <c r="B42" s="4">
        <v>8</v>
      </c>
      <c r="C42" s="6" t="str" cm="1">
        <f t="array" ref="C42">_xlfn.IFS(AND(LEFT(A42,1)&gt;="A",LEFT(A42,1)&lt;="F"),"0",AND(LEFT(A42,1)&gt;="G",LEFT(A42,1)&lt;="M"),"1",AND(LEFT(A42,1)&gt;="N",LEFT(A42,1)&lt;="Z"),"2")</f>
        <v>2</v>
      </c>
      <c r="D42" s="3" cm="1">
        <f t="array" ref="D42">_xlfn.IFS(C42="0",4*B42,C42="1",3*B42,C42="2",2*B42)</f>
        <v>16</v>
      </c>
    </row>
    <row r="43" spans="1:4" x14ac:dyDescent="0.25">
      <c r="A43" s="2" t="s">
        <v>45</v>
      </c>
      <c r="B43" s="4">
        <v>9</v>
      </c>
      <c r="C43" s="6" t="str" cm="1">
        <f t="array" ref="C43">_xlfn.IFS(AND(LEFT(A43,1)&gt;="A",LEFT(A43,1)&lt;="F"),"0",AND(LEFT(A43,1)&gt;="G",LEFT(A43,1)&lt;="M"),"1",AND(LEFT(A43,1)&gt;="N",LEFT(A43,1)&lt;="Z"),"2")</f>
        <v>2</v>
      </c>
      <c r="D43" s="3" cm="1">
        <f t="array" ref="D43">_xlfn.IFS(C43="0",4*B43,C43="1",3*B43,C43="2",2*B43)</f>
        <v>18</v>
      </c>
    </row>
    <row r="44" spans="1:4" x14ac:dyDescent="0.25">
      <c r="A44" s="2" t="s">
        <v>7</v>
      </c>
      <c r="B44" s="4">
        <v>10</v>
      </c>
      <c r="C44" s="6" t="str" cm="1">
        <f t="array" ref="C44">_xlfn.IFS(AND(LEFT(A44,1)&gt;="A",LEFT(A44,1)&lt;="F"),"0",AND(LEFT(A44,1)&gt;="G",LEFT(A44,1)&lt;="M"),"1",AND(LEFT(A44,1)&gt;="N",LEFT(A44,1)&lt;="Z"),"2")</f>
        <v>2</v>
      </c>
      <c r="D44" s="3" cm="1">
        <f t="array" ref="D44">_xlfn.IFS(C44="0",4*B44,C44="1",3*B44,C44="2",2*B44)</f>
        <v>20</v>
      </c>
    </row>
    <row r="45" spans="1:4" x14ac:dyDescent="0.25">
      <c r="A45" s="2" t="s">
        <v>46</v>
      </c>
      <c r="B45" s="4">
        <v>0.5</v>
      </c>
      <c r="C45" s="6" t="str" cm="1">
        <f t="array" ref="C45">_xlfn.IFS(AND(LEFT(A45,1)&gt;="A",LEFT(A45,1)&lt;="F"),"0",AND(LEFT(A45,1)&gt;="G",LEFT(A45,1)&lt;="M"),"1",AND(LEFT(A45,1)&gt;="N",LEFT(A45,1)&lt;="Z"),"2")</f>
        <v>2</v>
      </c>
      <c r="D45" s="3" cm="1">
        <f t="array" ref="D45">_xlfn.IFS(C45="0",4*B45,C45="1",3*B45,C45="2",2*B45)</f>
        <v>1</v>
      </c>
    </row>
    <row r="46" spans="1:4" x14ac:dyDescent="0.25">
      <c r="A46" s="2" t="s">
        <v>47</v>
      </c>
      <c r="B46" s="4">
        <v>1</v>
      </c>
      <c r="C46" s="6" t="str" cm="1">
        <f t="array" ref="C46">_xlfn.IFS(AND(LEFT(A46,1)&gt;="A",LEFT(A46,1)&lt;="F"),"0",AND(LEFT(A46,1)&gt;="G",LEFT(A46,1)&lt;="M"),"1",AND(LEFT(A46,1)&gt;="N",LEFT(A46,1)&lt;="Z"),"2")</f>
        <v>2</v>
      </c>
      <c r="D46" s="3" cm="1">
        <f t="array" ref="D46">_xlfn.IFS(C46="0",4*B46,C46="1",3*B46,C46="2",2*B46)</f>
        <v>2</v>
      </c>
    </row>
    <row r="47" spans="1:4" x14ac:dyDescent="0.25">
      <c r="A47" s="2" t="s">
        <v>48</v>
      </c>
      <c r="B47" s="4">
        <v>2</v>
      </c>
      <c r="C47" s="6" t="str" cm="1">
        <f t="array" ref="C47">_xlfn.IFS(AND(LEFT(A47,1)&gt;="A",LEFT(A47,1)&lt;="F"),"0",AND(LEFT(A47,1)&gt;="G",LEFT(A47,1)&lt;="M"),"1",AND(LEFT(A47,1)&gt;="N",LEFT(A47,1)&lt;="Z"),"2")</f>
        <v>0</v>
      </c>
      <c r="D47" s="3" cm="1">
        <f t="array" ref="D47">_xlfn.IFS(C47="0",4*B47,C47="1",3*B47,C47="2",2*B47)</f>
        <v>8</v>
      </c>
    </row>
    <row r="48" spans="1:4" x14ac:dyDescent="0.25">
      <c r="A48" s="2" t="s">
        <v>49</v>
      </c>
      <c r="B48" s="4">
        <v>3</v>
      </c>
      <c r="C48" s="6" t="str" cm="1">
        <f t="array" ref="C48">_xlfn.IFS(AND(LEFT(A48,1)&gt;="A",LEFT(A48,1)&lt;="F"),"0",AND(LEFT(A48,1)&gt;="G",LEFT(A48,1)&lt;="M"),"1",AND(LEFT(A48,1)&gt;="N",LEFT(A48,1)&lt;="Z"),"2")</f>
        <v>0</v>
      </c>
      <c r="D48" s="3" cm="1">
        <f t="array" ref="D48">_xlfn.IFS(C48="0",4*B48,C48="1",3*B48,C48="2",2*B48)</f>
        <v>12</v>
      </c>
    </row>
    <row r="49" spans="1:4" x14ac:dyDescent="0.25">
      <c r="A49" s="2" t="s">
        <v>50</v>
      </c>
      <c r="B49" s="4">
        <v>4</v>
      </c>
      <c r="C49" s="6" t="str" cm="1">
        <f t="array" ref="C49">_xlfn.IFS(AND(LEFT(A49,1)&gt;="A",LEFT(A49,1)&lt;="F"),"0",AND(LEFT(A49,1)&gt;="G",LEFT(A49,1)&lt;="M"),"1",AND(LEFT(A49,1)&gt;="N",LEFT(A49,1)&lt;="Z"),"2")</f>
        <v>0</v>
      </c>
      <c r="D49" s="3" cm="1">
        <f t="array" ref="D49">_xlfn.IFS(C49="0",4*B49,C49="1",3*B49,C49="2",2*B49)</f>
        <v>16</v>
      </c>
    </row>
    <row r="50" spans="1:4" x14ac:dyDescent="0.25">
      <c r="A50" s="2" t="s">
        <v>51</v>
      </c>
      <c r="B50" s="4">
        <v>5</v>
      </c>
      <c r="C50" s="6" t="str" cm="1">
        <f t="array" ref="C50">_xlfn.IFS(AND(LEFT(A50,1)&gt;="A",LEFT(A50,1)&lt;="F"),"0",AND(LEFT(A50,1)&gt;="G",LEFT(A50,1)&lt;="M"),"1",AND(LEFT(A50,1)&gt;="N",LEFT(A50,1)&lt;="Z"),"2")</f>
        <v>1</v>
      </c>
      <c r="D50" s="3" cm="1">
        <f t="array" ref="D50">_xlfn.IFS(C50="0",4*B50,C50="1",3*B50,C50="2",2*B50)</f>
        <v>15</v>
      </c>
    </row>
    <row r="51" spans="1:4" x14ac:dyDescent="0.25">
      <c r="A51" s="2" t="s">
        <v>52</v>
      </c>
      <c r="B51" s="4">
        <v>6</v>
      </c>
      <c r="C51" s="6" t="str" cm="1">
        <f t="array" ref="C51">_xlfn.IFS(AND(LEFT(A51,1)&gt;="A",LEFT(A51,1)&lt;="F"),"0",AND(LEFT(A51,1)&gt;="G",LEFT(A51,1)&lt;="M"),"1",AND(LEFT(A51,1)&gt;="N",LEFT(A51,1)&lt;="Z"),"2")</f>
        <v>1</v>
      </c>
      <c r="D51" s="3" cm="1">
        <f t="array" ref="D51">_xlfn.IFS(C51="0",4*B51,C51="1",3*B51,C51="2",2*B51)</f>
        <v>18</v>
      </c>
    </row>
    <row r="52" spans="1:4" x14ac:dyDescent="0.25">
      <c r="A52" s="2" t="s">
        <v>53</v>
      </c>
      <c r="B52" s="4">
        <v>7</v>
      </c>
      <c r="C52" s="6" t="str" cm="1">
        <f t="array" ref="C52">_xlfn.IFS(AND(LEFT(A52,1)&gt;="A",LEFT(A52,1)&lt;="F"),"0",AND(LEFT(A52,1)&gt;="G",LEFT(A52,1)&lt;="M"),"1",AND(LEFT(A52,1)&gt;="N",LEFT(A52,1)&lt;="Z"),"2")</f>
        <v>1</v>
      </c>
      <c r="D52" s="3" cm="1">
        <f t="array" ref="D52">_xlfn.IFS(C52="0",4*B52,C52="1",3*B52,C52="2",2*B52)</f>
        <v>21</v>
      </c>
    </row>
    <row r="53" spans="1:4" x14ac:dyDescent="0.25">
      <c r="A53" s="2" t="s">
        <v>54</v>
      </c>
      <c r="B53" s="4">
        <v>8</v>
      </c>
      <c r="C53" s="6" t="str" cm="1">
        <f t="array" ref="C53">_xlfn.IFS(AND(LEFT(A53,1)&gt;="A",LEFT(A53,1)&lt;="F"),"0",AND(LEFT(A53,1)&gt;="G",LEFT(A53,1)&lt;="M"),"1",AND(LEFT(A53,1)&gt;="N",LEFT(A53,1)&lt;="Z"),"2")</f>
        <v>1</v>
      </c>
      <c r="D53" s="3" cm="1">
        <f t="array" ref="D53">_xlfn.IFS(C53="0",4*B53,C53="1",3*B53,C53="2",2*B53)</f>
        <v>24</v>
      </c>
    </row>
    <row r="54" spans="1:4" x14ac:dyDescent="0.25">
      <c r="A54" s="2" t="s">
        <v>55</v>
      </c>
      <c r="B54" s="4">
        <v>9</v>
      </c>
      <c r="C54" s="6" t="str" cm="1">
        <f t="array" ref="C54">_xlfn.IFS(AND(LEFT(A54,1)&gt;="A",LEFT(A54,1)&lt;="F"),"0",AND(LEFT(A54,1)&gt;="G",LEFT(A54,1)&lt;="M"),"1",AND(LEFT(A54,1)&gt;="N",LEFT(A54,1)&lt;="Z"),"2")</f>
        <v>2</v>
      </c>
      <c r="D54" s="3" cm="1">
        <f t="array" ref="D54">_xlfn.IFS(C54="0",4*B54,C54="1",3*B54,C54="2",2*B54)</f>
        <v>18</v>
      </c>
    </row>
    <row r="55" spans="1:4" x14ac:dyDescent="0.25">
      <c r="A55" s="2" t="s">
        <v>56</v>
      </c>
      <c r="B55" s="4">
        <v>10</v>
      </c>
      <c r="C55" s="6" t="str" cm="1">
        <f t="array" ref="C55">_xlfn.IFS(AND(LEFT(A55,1)&gt;="A",LEFT(A55,1)&lt;="F"),"0",AND(LEFT(A55,1)&gt;="G",LEFT(A55,1)&lt;="M"),"1",AND(LEFT(A55,1)&gt;="N",LEFT(A55,1)&lt;="Z"),"2")</f>
        <v>2</v>
      </c>
      <c r="D55" s="3" cm="1">
        <f t="array" ref="D55">_xlfn.IFS(C55="0",4*B55,C55="1",3*B55,C55="2",2*B55)</f>
        <v>20</v>
      </c>
    </row>
    <row r="56" spans="1:4" x14ac:dyDescent="0.25">
      <c r="A56" s="2" t="s">
        <v>57</v>
      </c>
      <c r="B56" s="4">
        <v>0.5</v>
      </c>
      <c r="C56" s="6" t="str" cm="1">
        <f t="array" ref="C56">_xlfn.IFS(AND(LEFT(A56,1)&gt;="A",LEFT(A56,1)&lt;="F"),"0",AND(LEFT(A56,1)&gt;="G",LEFT(A56,1)&lt;="M"),"1",AND(LEFT(A56,1)&gt;="N",LEFT(A56,1)&lt;="Z"),"2")</f>
        <v>2</v>
      </c>
      <c r="D56" s="3" cm="1">
        <f t="array" ref="D56">_xlfn.IFS(C56="0",4*B56,C56="1",3*B56,C56="2",2*B56)</f>
        <v>1</v>
      </c>
    </row>
    <row r="57" spans="1:4" x14ac:dyDescent="0.25">
      <c r="A57" s="2" t="s">
        <v>58</v>
      </c>
      <c r="B57" s="4">
        <v>1</v>
      </c>
      <c r="C57" s="6" t="str" cm="1">
        <f t="array" ref="C57">_xlfn.IFS(AND(LEFT(A57,1)&gt;="A",LEFT(A57,1)&lt;="F"),"0",AND(LEFT(A57,1)&gt;="G",LEFT(A57,1)&lt;="M"),"1",AND(LEFT(A57,1)&gt;="N",LEFT(A57,1)&lt;="Z"),"2")</f>
        <v>2</v>
      </c>
      <c r="D57" s="3" cm="1">
        <f t="array" ref="D57">_xlfn.IFS(C57="0",4*B57,C57="1",3*B57,C57="2",2*B57)</f>
        <v>2</v>
      </c>
    </row>
    <row r="58" spans="1:4" x14ac:dyDescent="0.25">
      <c r="A58" s="2" t="s">
        <v>59</v>
      </c>
      <c r="B58" s="4">
        <v>2</v>
      </c>
      <c r="C58" s="6" t="str" cm="1">
        <f t="array" ref="C58">_xlfn.IFS(AND(LEFT(A58,1)&gt;="A",LEFT(A58,1)&lt;="F"),"0",AND(LEFT(A58,1)&gt;="G",LEFT(A58,1)&lt;="M"),"1",AND(LEFT(A58,1)&gt;="N",LEFT(A58,1)&lt;="Z"),"2")</f>
        <v>2</v>
      </c>
      <c r="D58" s="3" cm="1">
        <f t="array" ref="D58">_xlfn.IFS(C58="0",4*B58,C58="1",3*B58,C58="2",2*B58)</f>
        <v>4</v>
      </c>
    </row>
    <row r="59" spans="1:4" x14ac:dyDescent="0.25">
      <c r="A59" s="2" t="s">
        <v>60</v>
      </c>
      <c r="B59" s="4">
        <v>3</v>
      </c>
      <c r="C59" s="6" t="str" cm="1">
        <f t="array" ref="C59">_xlfn.IFS(AND(LEFT(A59,1)&gt;="A",LEFT(A59,1)&lt;="F"),"0",AND(LEFT(A59,1)&gt;="G",LEFT(A59,1)&lt;="M"),"1",AND(LEFT(A59,1)&gt;="N",LEFT(A59,1)&lt;="Z"),"2")</f>
        <v>2</v>
      </c>
      <c r="D59" s="3" cm="1">
        <f t="array" ref="D59">_xlfn.IFS(C59="0",4*B59,C59="1",3*B59,C59="2",2*B59)</f>
        <v>6</v>
      </c>
    </row>
    <row r="60" spans="1:4" x14ac:dyDescent="0.25">
      <c r="A60" s="2" t="s">
        <v>61</v>
      </c>
      <c r="B60" s="4">
        <v>4</v>
      </c>
      <c r="C60" s="6" t="str" cm="1">
        <f t="array" ref="C60">_xlfn.IFS(AND(LEFT(A60,1)&gt;="A",LEFT(A60,1)&lt;="F"),"0",AND(LEFT(A60,1)&gt;="G",LEFT(A60,1)&lt;="M"),"1",AND(LEFT(A60,1)&gt;="N",LEFT(A60,1)&lt;="Z"),"2")</f>
        <v>0</v>
      </c>
      <c r="D60" s="3" cm="1">
        <f t="array" ref="D60">_xlfn.IFS(C60="0",4*B60,C60="1",3*B60,C60="2",2*B60)</f>
        <v>16</v>
      </c>
    </row>
    <row r="61" spans="1:4" x14ac:dyDescent="0.25">
      <c r="A61" s="2" t="s">
        <v>62</v>
      </c>
      <c r="B61" s="4">
        <v>5</v>
      </c>
      <c r="C61" s="6" t="str" cm="1">
        <f t="array" ref="C61">_xlfn.IFS(AND(LEFT(A61,1)&gt;="A",LEFT(A61,1)&lt;="F"),"0",AND(LEFT(A61,1)&gt;="G",LEFT(A61,1)&lt;="M"),"1",AND(LEFT(A61,1)&gt;="N",LEFT(A61,1)&lt;="Z"),"2")</f>
        <v>0</v>
      </c>
      <c r="D61" s="3" cm="1">
        <f t="array" ref="D61">_xlfn.IFS(C61="0",4*B61,C61="1",3*B61,C61="2",2*B61)</f>
        <v>20</v>
      </c>
    </row>
    <row r="62" spans="1:4" x14ac:dyDescent="0.25">
      <c r="A62" s="2" t="s">
        <v>63</v>
      </c>
      <c r="B62" s="4">
        <v>6</v>
      </c>
      <c r="C62" s="6" t="str" cm="1">
        <f t="array" ref="C62">_xlfn.IFS(AND(LEFT(A62,1)&gt;="A",LEFT(A62,1)&lt;="F"),"0",AND(LEFT(A62,1)&gt;="G",LEFT(A62,1)&lt;="M"),"1",AND(LEFT(A62,1)&gt;="N",LEFT(A62,1)&lt;="Z"),"2")</f>
        <v>0</v>
      </c>
      <c r="D62" s="3" cm="1">
        <f t="array" ref="D62">_xlfn.IFS(C62="0",4*B62,C62="1",3*B62,C62="2",2*B62)</f>
        <v>24</v>
      </c>
    </row>
    <row r="63" spans="1:4" x14ac:dyDescent="0.25">
      <c r="A63" s="2" t="s">
        <v>64</v>
      </c>
      <c r="B63" s="4">
        <v>7</v>
      </c>
      <c r="C63" s="6" t="str" cm="1">
        <f t="array" ref="C63">_xlfn.IFS(AND(LEFT(A63,1)&gt;="A",LEFT(A63,1)&lt;="F"),"0",AND(LEFT(A63,1)&gt;="G",LEFT(A63,1)&lt;="M"),"1",AND(LEFT(A63,1)&gt;="N",LEFT(A63,1)&lt;="Z"),"2")</f>
        <v>1</v>
      </c>
      <c r="D63" s="3" cm="1">
        <f t="array" ref="D63">_xlfn.IFS(C63="0",4*B63,C63="1",3*B63,C63="2",2*B63)</f>
        <v>21</v>
      </c>
    </row>
    <row r="64" spans="1:4" x14ac:dyDescent="0.25">
      <c r="A64" s="2" t="s">
        <v>65</v>
      </c>
      <c r="B64" s="4">
        <v>8</v>
      </c>
      <c r="C64" s="6" t="str" cm="1">
        <f t="array" ref="C64">_xlfn.IFS(AND(LEFT(A64,1)&gt;="A",LEFT(A64,1)&lt;="F"),"0",AND(LEFT(A64,1)&gt;="G",LEFT(A64,1)&lt;="M"),"1",AND(LEFT(A64,1)&gt;="N",LEFT(A64,1)&lt;="Z"),"2")</f>
        <v>1</v>
      </c>
      <c r="D64" s="3" cm="1">
        <f t="array" ref="D64">_xlfn.IFS(C64="0",4*B64,C64="1",3*B64,C64="2",2*B64)</f>
        <v>24</v>
      </c>
    </row>
    <row r="65" spans="1:4" x14ac:dyDescent="0.25">
      <c r="A65" s="2" t="s">
        <v>66</v>
      </c>
      <c r="B65" s="4">
        <v>9</v>
      </c>
      <c r="C65" s="6" t="str" cm="1">
        <f t="array" ref="C65">_xlfn.IFS(AND(LEFT(A65,1)&gt;="A",LEFT(A65,1)&lt;="F"),"0",AND(LEFT(A65,1)&gt;="G",LEFT(A65,1)&lt;="M"),"1",AND(LEFT(A65,1)&gt;="N",LEFT(A65,1)&lt;="Z"),"2")</f>
        <v>1</v>
      </c>
      <c r="D65" s="3" cm="1">
        <f t="array" ref="D65">_xlfn.IFS(C65="0",4*B65,C65="1",3*B65,C65="2",2*B65)</f>
        <v>27</v>
      </c>
    </row>
    <row r="66" spans="1:4" x14ac:dyDescent="0.25">
      <c r="A66" s="2" t="s">
        <v>67</v>
      </c>
      <c r="B66" s="4">
        <v>10</v>
      </c>
      <c r="C66" s="6" t="str" cm="1">
        <f t="array" ref="C66">_xlfn.IFS(AND(LEFT(A66,1)&gt;="A",LEFT(A66,1)&lt;="F"),"0",AND(LEFT(A66,1)&gt;="G",LEFT(A66,1)&lt;="M"),"1",AND(LEFT(A66,1)&gt;="N",LEFT(A66,1)&lt;="Z"),"2")</f>
        <v>1</v>
      </c>
      <c r="D66" s="3" cm="1">
        <f t="array" ref="D66">_xlfn.IFS(C66="0",4*B66,C66="1",3*B66,C66="2",2*B66)</f>
        <v>30</v>
      </c>
    </row>
    <row r="67" spans="1:4" x14ac:dyDescent="0.25">
      <c r="A67" s="2" t="s">
        <v>68</v>
      </c>
      <c r="B67" s="4">
        <v>0.5</v>
      </c>
      <c r="C67" s="6" t="str" cm="1">
        <f t="array" ref="C67">_xlfn.IFS(AND(LEFT(A67,1)&gt;="A",LEFT(A67,1)&lt;="F"),"0",AND(LEFT(A67,1)&gt;="G",LEFT(A67,1)&lt;="M"),"1",AND(LEFT(A67,1)&gt;="N",LEFT(A67,1)&lt;="Z"),"2")</f>
        <v>2</v>
      </c>
      <c r="D67" s="3" cm="1">
        <f t="array" ref="D67">_xlfn.IFS(C67="0",4*B67,C67="1",3*B67,C67="2",2*B67)</f>
        <v>1</v>
      </c>
    </row>
    <row r="68" spans="1:4" x14ac:dyDescent="0.25">
      <c r="A68" s="2" t="s">
        <v>69</v>
      </c>
      <c r="B68" s="4">
        <v>1</v>
      </c>
      <c r="C68" s="6" t="str" cm="1">
        <f t="array" ref="C68">_xlfn.IFS(AND(LEFT(A68,1)&gt;="A",LEFT(A68,1)&lt;="F"),"0",AND(LEFT(A68,1)&gt;="G",LEFT(A68,1)&lt;="M"),"1",AND(LEFT(A68,1)&gt;="N",LEFT(A68,1)&lt;="Z"),"2")</f>
        <v>2</v>
      </c>
      <c r="D68" s="3" cm="1">
        <f t="array" ref="D68">_xlfn.IFS(C68="0",4*B68,C68="1",3*B68,C68="2",2*B68)</f>
        <v>2</v>
      </c>
    </row>
    <row r="69" spans="1:4" x14ac:dyDescent="0.25">
      <c r="A69" s="2" t="s">
        <v>70</v>
      </c>
      <c r="B69" s="4">
        <v>2</v>
      </c>
      <c r="C69" s="6" t="str" cm="1">
        <f t="array" ref="C69">_xlfn.IFS(AND(LEFT(A69,1)&gt;="A",LEFT(A69,1)&lt;="F"),"0",AND(LEFT(A69,1)&gt;="G",LEFT(A69,1)&lt;="M"),"1",AND(LEFT(A69,1)&gt;="N",LEFT(A69,1)&lt;="Z"),"2")</f>
        <v>2</v>
      </c>
      <c r="D69" s="3" cm="1">
        <f t="array" ref="D69">_xlfn.IFS(C69="0",4*B69,C69="1",3*B69,C69="2",2*B69)</f>
        <v>4</v>
      </c>
    </row>
    <row r="70" spans="1:4" x14ac:dyDescent="0.25">
      <c r="A70" s="2" t="s">
        <v>71</v>
      </c>
      <c r="B70" s="4">
        <v>3</v>
      </c>
      <c r="C70" s="6" t="str" cm="1">
        <f t="array" ref="C70">_xlfn.IFS(AND(LEFT(A70,1)&gt;="A",LEFT(A70,1)&lt;="F"),"0",AND(LEFT(A70,1)&gt;="G",LEFT(A70,1)&lt;="M"),"1",AND(LEFT(A70,1)&gt;="N",LEFT(A70,1)&lt;="Z"),"2")</f>
        <v>2</v>
      </c>
      <c r="D70" s="3" cm="1">
        <f t="array" ref="D70">_xlfn.IFS(C70="0",4*B70,C70="1",3*B70,C70="2",2*B70)</f>
        <v>6</v>
      </c>
    </row>
    <row r="71" spans="1:4" x14ac:dyDescent="0.25">
      <c r="A71" s="2" t="s">
        <v>72</v>
      </c>
      <c r="B71" s="4">
        <v>4</v>
      </c>
      <c r="C71" s="6" t="str" cm="1">
        <f t="array" ref="C71">_xlfn.IFS(AND(LEFT(A71,1)&gt;="A",LEFT(A71,1)&lt;="F"),"0",AND(LEFT(A71,1)&gt;="G",LEFT(A71,1)&lt;="M"),"1",AND(LEFT(A71,1)&gt;="N",LEFT(A71,1)&lt;="Z"),"2")</f>
        <v>2</v>
      </c>
      <c r="D71" s="3" cm="1">
        <f t="array" ref="D71">_xlfn.IFS(C71="0",4*B71,C71="1",3*B71,C71="2",2*B71)</f>
        <v>8</v>
      </c>
    </row>
    <row r="72" spans="1:4" x14ac:dyDescent="0.25">
      <c r="A72" s="2" t="s">
        <v>73</v>
      </c>
      <c r="B72" s="4">
        <v>5</v>
      </c>
      <c r="C72" s="6" t="str" cm="1">
        <f t="array" ref="C72">_xlfn.IFS(AND(LEFT(A72,1)&gt;="A",LEFT(A72,1)&lt;="F"),"0",AND(LEFT(A72,1)&gt;="G",LEFT(A72,1)&lt;="M"),"1",AND(LEFT(A72,1)&gt;="N",LEFT(A72,1)&lt;="Z"),"2")</f>
        <v>2</v>
      </c>
      <c r="D72" s="3" cm="1">
        <f t="array" ref="D72">_xlfn.IFS(C72="0",4*B72,C72="1",3*B72,C72="2",2*B72)</f>
        <v>10</v>
      </c>
    </row>
    <row r="73" spans="1:4" x14ac:dyDescent="0.25">
      <c r="A73" s="2" t="s">
        <v>74</v>
      </c>
      <c r="B73" s="4">
        <v>6</v>
      </c>
      <c r="C73" s="6" t="str" cm="1">
        <f t="array" ref="C73">_xlfn.IFS(AND(LEFT(A73,1)&gt;="A",LEFT(A73,1)&lt;="F"),"0",AND(LEFT(A73,1)&gt;="G",LEFT(A73,1)&lt;="M"),"1",AND(LEFT(A73,1)&gt;="N",LEFT(A73,1)&lt;="Z"),"2")</f>
        <v>0</v>
      </c>
      <c r="D73" s="3" cm="1">
        <f t="array" ref="D73">_xlfn.IFS(C73="0",4*B73,C73="1",3*B73,C73="2",2*B73)</f>
        <v>24</v>
      </c>
    </row>
    <row r="74" spans="1:4" x14ac:dyDescent="0.25">
      <c r="A74" s="2" t="s">
        <v>75</v>
      </c>
      <c r="B74" s="4">
        <v>7</v>
      </c>
      <c r="C74" s="6" t="str" cm="1">
        <f t="array" ref="C74">_xlfn.IFS(AND(LEFT(A74,1)&gt;="A",LEFT(A74,1)&lt;="F"),"0",AND(LEFT(A74,1)&gt;="G",LEFT(A74,1)&lt;="M"),"1",AND(LEFT(A74,1)&gt;="N",LEFT(A74,1)&lt;="Z"),"2")</f>
        <v>0</v>
      </c>
      <c r="D74" s="3" cm="1">
        <f t="array" ref="D74">_xlfn.IFS(C74="0",4*B74,C74="1",3*B74,C74="2",2*B74)</f>
        <v>28</v>
      </c>
    </row>
    <row r="75" spans="1:4" x14ac:dyDescent="0.25">
      <c r="A75" s="2" t="s">
        <v>76</v>
      </c>
      <c r="B75" s="4">
        <v>8</v>
      </c>
      <c r="C75" s="6" t="str" cm="1">
        <f t="array" ref="C75">_xlfn.IFS(AND(LEFT(A75,1)&gt;="A",LEFT(A75,1)&lt;="F"),"0",AND(LEFT(A75,1)&gt;="G",LEFT(A75,1)&lt;="M"),"1",AND(LEFT(A75,1)&gt;="N",LEFT(A75,1)&lt;="Z"),"2")</f>
        <v>0</v>
      </c>
      <c r="D75" s="3" cm="1">
        <f t="array" ref="D75">_xlfn.IFS(C75="0",4*B75,C75="1",3*B75,C75="2",2*B75)</f>
        <v>32</v>
      </c>
    </row>
    <row r="76" spans="1:4" x14ac:dyDescent="0.25">
      <c r="A76" s="2" t="s">
        <v>77</v>
      </c>
      <c r="B76" s="4">
        <v>9</v>
      </c>
      <c r="C76" s="6" t="str" cm="1">
        <f t="array" ref="C76">_xlfn.IFS(AND(LEFT(A76,1)&gt;="A",LEFT(A76,1)&lt;="F"),"0",AND(LEFT(A76,1)&gt;="G",LEFT(A76,1)&lt;="M"),"1",AND(LEFT(A76,1)&gt;="N",LEFT(A76,1)&lt;="Z"),"2")</f>
        <v>1</v>
      </c>
      <c r="D76" s="3" cm="1">
        <f t="array" ref="D76">_xlfn.IFS(C76="0",4*B76,C76="1",3*B76,C76="2",2*B76)</f>
        <v>27</v>
      </c>
    </row>
    <row r="77" spans="1:4" x14ac:dyDescent="0.25">
      <c r="A77" s="2" t="s">
        <v>78</v>
      </c>
      <c r="B77" s="4">
        <v>10</v>
      </c>
      <c r="C77" s="6" t="str" cm="1">
        <f t="array" ref="C77">_xlfn.IFS(AND(LEFT(A77,1)&gt;="A",LEFT(A77,1)&lt;="F"),"0",AND(LEFT(A77,1)&gt;="G",LEFT(A77,1)&lt;="M"),"1",AND(LEFT(A77,1)&gt;="N",LEFT(A77,1)&lt;="Z"),"2")</f>
        <v>1</v>
      </c>
      <c r="D77" s="3" cm="1">
        <f t="array" ref="D77">_xlfn.IFS(C77="0",4*B77,C77="1",3*B77,C77="2",2*B77)</f>
        <v>30</v>
      </c>
    </row>
    <row r="78" spans="1:4" x14ac:dyDescent="0.25">
      <c r="A78" s="2" t="s">
        <v>79</v>
      </c>
      <c r="B78" s="4">
        <v>0.5</v>
      </c>
      <c r="C78" s="6" t="str" cm="1">
        <f t="array" ref="C78">_xlfn.IFS(AND(LEFT(A78,1)&gt;="A",LEFT(A78,1)&lt;="F"),"0",AND(LEFT(A78,1)&gt;="G",LEFT(A78,1)&lt;="M"),"1",AND(LEFT(A78,1)&gt;="N",LEFT(A78,1)&lt;="Z"),"2")</f>
        <v>1</v>
      </c>
      <c r="D78" s="3" cm="1">
        <f t="array" ref="D78">_xlfn.IFS(C78="0",4*B78,C78="1",3*B78,C78="2",2*B78)</f>
        <v>1.5</v>
      </c>
    </row>
    <row r="79" spans="1:4" x14ac:dyDescent="0.25">
      <c r="A79" s="2" t="s">
        <v>80</v>
      </c>
      <c r="B79" s="4">
        <v>1</v>
      </c>
      <c r="C79" s="6" t="str" cm="1">
        <f t="array" ref="C79">_xlfn.IFS(AND(LEFT(A79,1)&gt;="A",LEFT(A79,1)&lt;="F"),"0",AND(LEFT(A79,1)&gt;="G",LEFT(A79,1)&lt;="M"),"1",AND(LEFT(A79,1)&gt;="N",LEFT(A79,1)&lt;="Z"),"2")</f>
        <v>1</v>
      </c>
      <c r="D79" s="3" cm="1">
        <f t="array" ref="D79">_xlfn.IFS(C79="0",4*B79,C79="1",3*B79,C79="2",2*B79)</f>
        <v>3</v>
      </c>
    </row>
    <row r="80" spans="1:4" x14ac:dyDescent="0.25">
      <c r="A80" s="2" t="s">
        <v>81</v>
      </c>
      <c r="B80" s="4">
        <v>2</v>
      </c>
      <c r="C80" s="6" t="str" cm="1">
        <f t="array" ref="C80">_xlfn.IFS(AND(LEFT(A80,1)&gt;="A",LEFT(A80,1)&lt;="F"),"0",AND(LEFT(A80,1)&gt;="G",LEFT(A80,1)&lt;="M"),"1",AND(LEFT(A80,1)&gt;="N",LEFT(A80,1)&lt;="Z"),"2")</f>
        <v>2</v>
      </c>
      <c r="D80" s="3" cm="1">
        <f t="array" ref="D80">_xlfn.IFS(C80="0",4*B80,C80="1",3*B80,C80="2",2*B80)</f>
        <v>4</v>
      </c>
    </row>
    <row r="81" spans="1:4" x14ac:dyDescent="0.25">
      <c r="A81" s="2" t="s">
        <v>82</v>
      </c>
      <c r="B81" s="4">
        <v>3</v>
      </c>
      <c r="C81" s="6" t="str" cm="1">
        <f t="array" ref="C81">_xlfn.IFS(AND(LEFT(A81,1)&gt;="A",LEFT(A81,1)&lt;="F"),"0",AND(LEFT(A81,1)&gt;="G",LEFT(A81,1)&lt;="M"),"1",AND(LEFT(A81,1)&gt;="N",LEFT(A81,1)&lt;="Z"),"2")</f>
        <v>2</v>
      </c>
      <c r="D81" s="3" cm="1">
        <f t="array" ref="D81">_xlfn.IFS(C81="0",4*B81,C81="1",3*B81,C81="2",2*B81)</f>
        <v>6</v>
      </c>
    </row>
    <row r="82" spans="1:4" x14ac:dyDescent="0.25">
      <c r="A82" s="2" t="s">
        <v>83</v>
      </c>
      <c r="B82" s="4">
        <v>4</v>
      </c>
      <c r="C82" s="6" t="str" cm="1">
        <f t="array" ref="C82">_xlfn.IFS(AND(LEFT(A82,1)&gt;="A",LEFT(A82,1)&lt;="F"),"0",AND(LEFT(A82,1)&gt;="G",LEFT(A82,1)&lt;="M"),"1",AND(LEFT(A82,1)&gt;="N",LEFT(A82,1)&lt;="Z"),"2")</f>
        <v>2</v>
      </c>
      <c r="D82" s="3" cm="1">
        <f t="array" ref="D82">_xlfn.IFS(C82="0",4*B82,C82="1",3*B82,C82="2",2*B82)</f>
        <v>8</v>
      </c>
    </row>
    <row r="83" spans="1:4" x14ac:dyDescent="0.25">
      <c r="A83" s="2" t="s">
        <v>84</v>
      </c>
      <c r="B83" s="4">
        <v>5</v>
      </c>
      <c r="C83" s="6" t="str" cm="1">
        <f t="array" ref="C83">_xlfn.IFS(AND(LEFT(A83,1)&gt;="A",LEFT(A83,1)&lt;="F"),"0",AND(LEFT(A83,1)&gt;="G",LEFT(A83,1)&lt;="M"),"1",AND(LEFT(A83,1)&gt;="N",LEFT(A83,1)&lt;="Z"),"2")</f>
        <v>2</v>
      </c>
      <c r="D83" s="3" cm="1">
        <f t="array" ref="D83">_xlfn.IFS(C83="0",4*B83,C83="1",3*B83,C83="2",2*B83)</f>
        <v>10</v>
      </c>
    </row>
    <row r="84" spans="1:4" x14ac:dyDescent="0.25">
      <c r="A84" s="2" t="s">
        <v>85</v>
      </c>
      <c r="B84" s="4">
        <v>6</v>
      </c>
      <c r="C84" s="6" t="str" cm="1">
        <f t="array" ref="C84">_xlfn.IFS(AND(LEFT(A84,1)&gt;="A",LEFT(A84,1)&lt;="F"),"0",AND(LEFT(A84,1)&gt;="G",LEFT(A84,1)&lt;="M"),"1",AND(LEFT(A84,1)&gt;="N",LEFT(A84,1)&lt;="Z"),"2")</f>
        <v>2</v>
      </c>
      <c r="D84" s="3" cm="1">
        <f t="array" ref="D84">_xlfn.IFS(C84="0",4*B84,C84="1",3*B84,C84="2",2*B84)</f>
        <v>12</v>
      </c>
    </row>
    <row r="85" spans="1:4" x14ac:dyDescent="0.25">
      <c r="A85" s="2" t="s">
        <v>86</v>
      </c>
      <c r="B85" s="4">
        <v>7</v>
      </c>
      <c r="C85" s="6" t="str" cm="1">
        <f t="array" ref="C85">_xlfn.IFS(AND(LEFT(A85,1)&gt;="A",LEFT(A85,1)&lt;="F"),"0",AND(LEFT(A85,1)&gt;="G",LEFT(A85,1)&lt;="M"),"1",AND(LEFT(A85,1)&gt;="N",LEFT(A85,1)&lt;="Z"),"2")</f>
        <v>2</v>
      </c>
      <c r="D85" s="3" cm="1">
        <f t="array" ref="D85">_xlfn.IFS(C85="0",4*B85,C85="1",3*B85,C85="2",2*B85)</f>
        <v>14</v>
      </c>
    </row>
    <row r="86" spans="1:4" x14ac:dyDescent="0.25">
      <c r="A86" s="2" t="s">
        <v>87</v>
      </c>
      <c r="B86" s="4">
        <v>8</v>
      </c>
      <c r="C86" s="6" t="str" cm="1">
        <f t="array" ref="C86">_xlfn.IFS(AND(LEFT(A86,1)&gt;="A",LEFT(A86,1)&lt;="F"),"0",AND(LEFT(A86,1)&gt;="G",LEFT(A86,1)&lt;="M"),"1",AND(LEFT(A86,1)&gt;="N",LEFT(A86,1)&lt;="Z"),"2")</f>
        <v>0</v>
      </c>
      <c r="D86" s="3" cm="1">
        <f t="array" ref="D86">_xlfn.IFS(C86="0",4*B86,C86="1",3*B86,C86="2",2*B86)</f>
        <v>32</v>
      </c>
    </row>
    <row r="87" spans="1:4" x14ac:dyDescent="0.25">
      <c r="A87" s="2" t="s">
        <v>88</v>
      </c>
      <c r="B87" s="4">
        <v>9</v>
      </c>
      <c r="C87" s="6" t="str" cm="1">
        <f t="array" ref="C87">_xlfn.IFS(AND(LEFT(A87,1)&gt;="A",LEFT(A87,1)&lt;="F"),"0",AND(LEFT(A87,1)&gt;="G",LEFT(A87,1)&lt;="M"),"1",AND(LEFT(A87,1)&gt;="N",LEFT(A87,1)&lt;="Z"),"2")</f>
        <v>0</v>
      </c>
      <c r="D87" s="3" cm="1">
        <f t="array" ref="D87">_xlfn.IFS(C87="0",4*B87,C87="1",3*B87,C87="2",2*B87)</f>
        <v>36</v>
      </c>
    </row>
    <row r="88" spans="1:4" x14ac:dyDescent="0.25">
      <c r="A88" s="2" t="s">
        <v>89</v>
      </c>
      <c r="B88" s="4">
        <v>10</v>
      </c>
      <c r="C88" s="6" t="str" cm="1">
        <f t="array" ref="C88">_xlfn.IFS(AND(LEFT(A88,1)&gt;="A",LEFT(A88,1)&lt;="F"),"0",AND(LEFT(A88,1)&gt;="G",LEFT(A88,1)&lt;="M"),"1",AND(LEFT(A88,1)&gt;="N",LEFT(A88,1)&lt;="Z"),"2")</f>
        <v>0</v>
      </c>
      <c r="D88" s="3" cm="1">
        <f t="array" ref="D88">_xlfn.IFS(C88="0",4*B88,C88="1",3*B88,C88="2",2*B88)</f>
        <v>40</v>
      </c>
    </row>
    <row r="89" spans="1:4" x14ac:dyDescent="0.25">
      <c r="A89" s="2" t="s">
        <v>90</v>
      </c>
      <c r="B89" s="4">
        <v>0.5</v>
      </c>
      <c r="C89" s="6" t="str" cm="1">
        <f t="array" ref="C89">_xlfn.IFS(AND(LEFT(A89,1)&gt;="A",LEFT(A89,1)&lt;="F"),"0",AND(LEFT(A89,1)&gt;="G",LEFT(A89,1)&lt;="M"),"1",AND(LEFT(A89,1)&gt;="N",LEFT(A89,1)&lt;="Z"),"2")</f>
        <v>1</v>
      </c>
      <c r="D89" s="3" cm="1">
        <f t="array" ref="D89">_xlfn.IFS(C89="0",4*B89,C89="1",3*B89,C89="2",2*B89)</f>
        <v>1.5</v>
      </c>
    </row>
    <row r="90" spans="1:4" x14ac:dyDescent="0.25">
      <c r="A90" s="2" t="s">
        <v>91</v>
      </c>
      <c r="B90" s="4">
        <v>1</v>
      </c>
      <c r="C90" s="6" t="str" cm="1">
        <f t="array" ref="C90">_xlfn.IFS(AND(LEFT(A90,1)&gt;="A",LEFT(A90,1)&lt;="F"),"0",AND(LEFT(A90,1)&gt;="G",LEFT(A90,1)&lt;="M"),"1",AND(LEFT(A90,1)&gt;="N",LEFT(A90,1)&lt;="Z"),"2")</f>
        <v>1</v>
      </c>
      <c r="D90" s="3" cm="1">
        <f t="array" ref="D90">_xlfn.IFS(C90="0",4*B90,C90="1",3*B90,C90="2",2*B90)</f>
        <v>3</v>
      </c>
    </row>
    <row r="91" spans="1:4" x14ac:dyDescent="0.25">
      <c r="A91" s="2" t="s">
        <v>92</v>
      </c>
      <c r="B91" s="4">
        <v>2</v>
      </c>
      <c r="C91" s="6" t="str" cm="1">
        <f t="array" ref="C91">_xlfn.IFS(AND(LEFT(A91,1)&gt;="A",LEFT(A91,1)&lt;="F"),"0",AND(LEFT(A91,1)&gt;="G",LEFT(A91,1)&lt;="M"),"1",AND(LEFT(A91,1)&gt;="N",LEFT(A91,1)&lt;="Z"),"2")</f>
        <v>1</v>
      </c>
      <c r="D91" s="3" cm="1">
        <f t="array" ref="D91">_xlfn.IFS(C91="0",4*B91,C91="1",3*B91,C91="2",2*B91)</f>
        <v>6</v>
      </c>
    </row>
    <row r="92" spans="1:4" x14ac:dyDescent="0.25">
      <c r="A92" s="2" t="s">
        <v>93</v>
      </c>
      <c r="B92" s="4">
        <v>3</v>
      </c>
      <c r="C92" s="6" t="str" cm="1">
        <f t="array" ref="C92">_xlfn.IFS(AND(LEFT(A92,1)&gt;="A",LEFT(A92,1)&lt;="F"),"0",AND(LEFT(A92,1)&gt;="G",LEFT(A92,1)&lt;="M"),"1",AND(LEFT(A92,1)&gt;="N",LEFT(A92,1)&lt;="Z"),"2")</f>
        <v>1</v>
      </c>
      <c r="D92" s="3" cm="1">
        <f t="array" ref="D92">_xlfn.IFS(C92="0",4*B92,C92="1",3*B92,C92="2",2*B92)</f>
        <v>9</v>
      </c>
    </row>
    <row r="93" spans="1:4" x14ac:dyDescent="0.25">
      <c r="A93" s="2" t="s">
        <v>94</v>
      </c>
      <c r="B93" s="4">
        <v>4</v>
      </c>
      <c r="C93" s="6" t="str" cm="1">
        <f t="array" ref="C93">_xlfn.IFS(AND(LEFT(A93,1)&gt;="A",LEFT(A93,1)&lt;="F"),"0",AND(LEFT(A93,1)&gt;="G",LEFT(A93,1)&lt;="M"),"1",AND(LEFT(A93,1)&gt;="N",LEFT(A93,1)&lt;="Z"),"2")</f>
        <v>2</v>
      </c>
      <c r="D93" s="3" cm="1">
        <f t="array" ref="D93">_xlfn.IFS(C93="0",4*B93,C93="1",3*B93,C93="2",2*B93)</f>
        <v>8</v>
      </c>
    </row>
    <row r="94" spans="1:4" x14ac:dyDescent="0.25">
      <c r="A94" s="2" t="s">
        <v>95</v>
      </c>
      <c r="B94" s="4">
        <v>5</v>
      </c>
      <c r="C94" s="6" t="str" cm="1">
        <f t="array" ref="C94">_xlfn.IFS(AND(LEFT(A94,1)&gt;="A",LEFT(A94,1)&lt;="F"),"0",AND(LEFT(A94,1)&gt;="G",LEFT(A94,1)&lt;="M"),"1",AND(LEFT(A94,1)&gt;="N",LEFT(A94,1)&lt;="Z"),"2")</f>
        <v>2</v>
      </c>
      <c r="D94" s="3" cm="1">
        <f t="array" ref="D94">_xlfn.IFS(C94="0",4*B94,C94="1",3*B94,C94="2",2*B94)</f>
        <v>10</v>
      </c>
    </row>
    <row r="95" spans="1:4" x14ac:dyDescent="0.25">
      <c r="A95" s="2" t="s">
        <v>96</v>
      </c>
      <c r="B95" s="4">
        <v>6</v>
      </c>
      <c r="C95" s="6" t="str" cm="1">
        <f t="array" ref="C95">_xlfn.IFS(AND(LEFT(A95,1)&gt;="A",LEFT(A95,1)&lt;="F"),"0",AND(LEFT(A95,1)&gt;="G",LEFT(A95,1)&lt;="M"),"1",AND(LEFT(A95,1)&gt;="N",LEFT(A95,1)&lt;="Z"),"2")</f>
        <v>2</v>
      </c>
      <c r="D95" s="3" cm="1">
        <f t="array" ref="D95">_xlfn.IFS(C95="0",4*B95,C95="1",3*B95,C95="2",2*B95)</f>
        <v>12</v>
      </c>
    </row>
    <row r="96" spans="1:4" x14ac:dyDescent="0.25">
      <c r="A96" s="2" t="s">
        <v>97</v>
      </c>
      <c r="B96" s="4">
        <v>7</v>
      </c>
      <c r="C96" s="6" t="str" cm="1">
        <f t="array" ref="C96">_xlfn.IFS(AND(LEFT(A96,1)&gt;="A",LEFT(A96,1)&lt;="F"),"0",AND(LEFT(A96,1)&gt;="G",LEFT(A96,1)&lt;="M"),"1",AND(LEFT(A96,1)&gt;="N",LEFT(A96,1)&lt;="Z"),"2")</f>
        <v>2</v>
      </c>
      <c r="D96" s="3" cm="1">
        <f t="array" ref="D96">_xlfn.IFS(C96="0",4*B96,C96="1",3*B96,C96="2",2*B96)</f>
        <v>14</v>
      </c>
    </row>
    <row r="97" spans="1:4" x14ac:dyDescent="0.25">
      <c r="A97" s="2" t="s">
        <v>98</v>
      </c>
      <c r="B97" s="4">
        <v>8</v>
      </c>
      <c r="C97" s="6" t="str" cm="1">
        <f t="array" ref="C97">_xlfn.IFS(AND(LEFT(A97,1)&gt;="A",LEFT(A97,1)&lt;="F"),"0",AND(LEFT(A97,1)&gt;="G",LEFT(A97,1)&lt;="M"),"1",AND(LEFT(A97,1)&gt;="N",LEFT(A97,1)&lt;="Z"),"2")</f>
        <v>2</v>
      </c>
      <c r="D97" s="3" cm="1">
        <f t="array" ref="D97">_xlfn.IFS(C97="0",4*B97,C97="1",3*B97,C97="2",2*B97)</f>
        <v>16</v>
      </c>
    </row>
    <row r="98" spans="1:4" x14ac:dyDescent="0.25">
      <c r="A98" s="2" t="s">
        <v>99</v>
      </c>
      <c r="B98" s="4">
        <v>9</v>
      </c>
      <c r="C98" s="6" t="str" cm="1">
        <f t="array" ref="C98">_xlfn.IFS(AND(LEFT(A98,1)&gt;="A",LEFT(A98,1)&lt;="F"),"0",AND(LEFT(A98,1)&gt;="G",LEFT(A98,1)&lt;="M"),"1",AND(LEFT(A98,1)&gt;="N",LEFT(A98,1)&lt;="Z"),"2")</f>
        <v>2</v>
      </c>
      <c r="D98" s="3" cm="1">
        <f t="array" ref="D98">_xlfn.IFS(C98="0",4*B98,C98="1",3*B98,C98="2",2*B98)</f>
        <v>18</v>
      </c>
    </row>
    <row r="99" spans="1:4" x14ac:dyDescent="0.25">
      <c r="A99" s="2" t="s">
        <v>100</v>
      </c>
      <c r="B99" s="4">
        <v>10</v>
      </c>
      <c r="C99" s="6" t="str" cm="1">
        <f t="array" ref="C99">_xlfn.IFS(AND(LEFT(A99,1)&gt;="A",LEFT(A99,1)&lt;="F"),"0",AND(LEFT(A99,1)&gt;="G",LEFT(A99,1)&lt;="M"),"1",AND(LEFT(A99,1)&gt;="N",LEFT(A99,1)&lt;="Z"),"2")</f>
        <v>0</v>
      </c>
      <c r="D99" s="3" cm="1">
        <f t="array" ref="D99">_xlfn.IFS(C99="0",4*B99,C99="1",3*B99,C99="2",2*B99)</f>
        <v>40</v>
      </c>
    </row>
    <row r="100" spans="1:4" x14ac:dyDescent="0.25">
      <c r="A100" s="2" t="s">
        <v>101</v>
      </c>
      <c r="B100" s="4">
        <v>0.5</v>
      </c>
      <c r="C100" s="6" t="str" cm="1">
        <f t="array" ref="C100">_xlfn.IFS(AND(LEFT(A100,1)&gt;="A",LEFT(A100,1)&lt;="F"),"0",AND(LEFT(A100,1)&gt;="G",LEFT(A100,1)&lt;="M"),"1",AND(LEFT(A100,1)&gt;="N",LEFT(A100,1)&lt;="Z"),"2")</f>
        <v>0</v>
      </c>
      <c r="D100" s="3" cm="1">
        <f t="array" ref="D100">_xlfn.IFS(C100="0",4*B100,C100="1",3*B100,C100="2",2*B100)</f>
        <v>2</v>
      </c>
    </row>
    <row r="101" spans="1:4" x14ac:dyDescent="0.25">
      <c r="A101" s="2" t="s">
        <v>102</v>
      </c>
      <c r="B101" s="4">
        <v>1</v>
      </c>
      <c r="C101" s="6" t="str" cm="1">
        <f t="array" ref="C101">_xlfn.IFS(AND(LEFT(A101,1)&gt;="A",LEFT(A101,1)&lt;="F"),"0",AND(LEFT(A101,1)&gt;="G",LEFT(A101,1)&lt;="M"),"1",AND(LEFT(A101,1)&gt;="N",LEFT(A101,1)&lt;="Z"),"2")</f>
        <v>0</v>
      </c>
      <c r="D101" s="3" cm="1">
        <f t="array" ref="D101">_xlfn.IFS(C101="0",4*B101,C101="1",3*B101,C101="2",2*B101)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pane ySplit="6" topLeftCell="A7" activePane="bottomLeft" state="frozen"/>
      <selection pane="bottomLeft" activeCell="G12" sqref="G12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14" customWidth="1"/>
    <col min="5" max="5" width="13.33203125" bestFit="1" customWidth="1"/>
    <col min="6" max="6" width="15.21875" bestFit="1" customWidth="1"/>
    <col min="7" max="7" width="28.33203125" bestFit="1" customWidth="1"/>
  </cols>
  <sheetData>
    <row r="1" spans="1:26" x14ac:dyDescent="0.25">
      <c r="A1" s="1" t="s">
        <v>103</v>
      </c>
      <c r="B1" s="1" t="s">
        <v>104</v>
      </c>
      <c r="C1" s="1" t="s">
        <v>3</v>
      </c>
      <c r="D1" s="1" t="s">
        <v>110</v>
      </c>
      <c r="E1" s="1" t="s">
        <v>111</v>
      </c>
      <c r="F1" s="1" t="s">
        <v>112</v>
      </c>
      <c r="G1" s="1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105</v>
      </c>
      <c r="B2" s="2">
        <v>55</v>
      </c>
      <c r="D2" s="2" t="s">
        <v>105</v>
      </c>
      <c r="E2">
        <f>COUNTIF($A$2:$A$47,D2)</f>
        <v>11</v>
      </c>
      <c r="F2">
        <f>SUMIF($A$2:$A$47,D2,$B$2:$B$47)</f>
        <v>525</v>
      </c>
      <c r="G2">
        <f>SUMIFS(C2:C47,A2:A47,D2,B2:B47,"&gt;=80")</f>
        <v>0</v>
      </c>
    </row>
    <row r="3" spans="1:26" x14ac:dyDescent="0.25">
      <c r="A3" s="2" t="s">
        <v>106</v>
      </c>
      <c r="B3" s="2">
        <v>70</v>
      </c>
      <c r="C3" s="2">
        <v>80</v>
      </c>
      <c r="D3" s="2" t="s">
        <v>106</v>
      </c>
      <c r="E3">
        <f t="shared" ref="E3:E47" si="0">COUNTIF($A$2:$A$47,D3)</f>
        <v>14</v>
      </c>
      <c r="F3">
        <f t="shared" ref="F3:F47" si="1">SUMIF($A$2:$A$47,D3,$B$2:$B$47)</f>
        <v>755</v>
      </c>
      <c r="G3">
        <f t="shared" ref="G3:G6" si="2">SUMIFS(C3:C48,A3:A48,D3,B3:B48,"&gt;=80")</f>
        <v>200</v>
      </c>
    </row>
    <row r="4" spans="1:26" x14ac:dyDescent="0.25">
      <c r="A4" s="2" t="s">
        <v>107</v>
      </c>
      <c r="B4" s="2">
        <v>40</v>
      </c>
      <c r="C4" s="2">
        <v>60</v>
      </c>
      <c r="D4" s="2" t="s">
        <v>107</v>
      </c>
      <c r="E4">
        <f t="shared" si="0"/>
        <v>11</v>
      </c>
      <c r="F4">
        <f t="shared" si="1"/>
        <v>555</v>
      </c>
      <c r="G4">
        <f t="shared" si="2"/>
        <v>0</v>
      </c>
    </row>
    <row r="5" spans="1:26" x14ac:dyDescent="0.25">
      <c r="A5" s="2" t="s">
        <v>105</v>
      </c>
      <c r="B5" s="2">
        <v>20</v>
      </c>
      <c r="C5" s="2">
        <v>100</v>
      </c>
      <c r="D5" s="2" t="s">
        <v>108</v>
      </c>
      <c r="E5">
        <f t="shared" si="0"/>
        <v>7</v>
      </c>
      <c r="F5">
        <f t="shared" si="1"/>
        <v>380</v>
      </c>
      <c r="G5">
        <f t="shared" si="2"/>
        <v>30</v>
      </c>
    </row>
    <row r="6" spans="1:26" x14ac:dyDescent="0.25">
      <c r="A6" s="2" t="s">
        <v>108</v>
      </c>
      <c r="B6" s="2">
        <v>90</v>
      </c>
      <c r="C6" s="2">
        <v>30</v>
      </c>
      <c r="D6" s="2" t="s">
        <v>109</v>
      </c>
      <c r="E6">
        <f t="shared" si="0"/>
        <v>3</v>
      </c>
      <c r="F6">
        <f t="shared" si="1"/>
        <v>160</v>
      </c>
      <c r="G6">
        <f t="shared" si="2"/>
        <v>0</v>
      </c>
    </row>
    <row r="7" spans="1:26" x14ac:dyDescent="0.25">
      <c r="A7" s="2" t="s">
        <v>106</v>
      </c>
      <c r="B7" s="2">
        <v>50</v>
      </c>
      <c r="C7" s="2">
        <v>40</v>
      </c>
    </row>
    <row r="8" spans="1:26" x14ac:dyDescent="0.25">
      <c r="A8" s="2" t="s">
        <v>107</v>
      </c>
      <c r="B8" s="2">
        <v>60</v>
      </c>
      <c r="C8" s="2">
        <v>55</v>
      </c>
    </row>
    <row r="9" spans="1:26" x14ac:dyDescent="0.25">
      <c r="A9" s="2" t="s">
        <v>105</v>
      </c>
      <c r="B9" s="2">
        <v>45</v>
      </c>
    </row>
    <row r="10" spans="1:26" x14ac:dyDescent="0.25">
      <c r="A10" s="2" t="s">
        <v>106</v>
      </c>
      <c r="B10" s="2">
        <v>25</v>
      </c>
      <c r="C10" s="2">
        <v>85</v>
      </c>
    </row>
    <row r="11" spans="1:26" x14ac:dyDescent="0.25">
      <c r="A11" s="2" t="s">
        <v>108</v>
      </c>
      <c r="B11" s="2">
        <v>35</v>
      </c>
      <c r="C11" s="2">
        <v>50</v>
      </c>
    </row>
    <row r="12" spans="1:26" x14ac:dyDescent="0.25">
      <c r="A12" s="2" t="s">
        <v>109</v>
      </c>
      <c r="B12" s="2">
        <v>60</v>
      </c>
      <c r="C12" s="2">
        <v>95</v>
      </c>
    </row>
    <row r="13" spans="1:26" x14ac:dyDescent="0.25">
      <c r="A13" s="2" t="s">
        <v>107</v>
      </c>
      <c r="B13" s="2">
        <v>80</v>
      </c>
    </row>
    <row r="14" spans="1:26" x14ac:dyDescent="0.25">
      <c r="A14" s="2" t="s">
        <v>106</v>
      </c>
      <c r="B14" s="2">
        <v>40</v>
      </c>
      <c r="C14" s="2">
        <v>45</v>
      </c>
    </row>
    <row r="15" spans="1:26" x14ac:dyDescent="0.25">
      <c r="A15" s="2" t="s">
        <v>105</v>
      </c>
      <c r="B15" s="2">
        <v>65</v>
      </c>
      <c r="C15" s="2">
        <v>65</v>
      </c>
    </row>
    <row r="16" spans="1:26" x14ac:dyDescent="0.25">
      <c r="A16" s="2" t="s">
        <v>107</v>
      </c>
      <c r="B16" s="2">
        <v>55</v>
      </c>
      <c r="C16" s="2">
        <v>30</v>
      </c>
    </row>
    <row r="17" spans="1:3" x14ac:dyDescent="0.25">
      <c r="A17" s="2" t="s">
        <v>108</v>
      </c>
      <c r="B17" s="2">
        <v>70</v>
      </c>
    </row>
    <row r="18" spans="1:3" x14ac:dyDescent="0.25">
      <c r="A18" s="2" t="s">
        <v>106</v>
      </c>
      <c r="B18" s="2">
        <v>45</v>
      </c>
      <c r="C18" s="2">
        <v>80</v>
      </c>
    </row>
    <row r="19" spans="1:3" x14ac:dyDescent="0.25">
      <c r="A19" s="2" t="s">
        <v>105</v>
      </c>
      <c r="B19" s="2">
        <v>25</v>
      </c>
      <c r="C19" s="2">
        <v>60</v>
      </c>
    </row>
    <row r="20" spans="1:3" x14ac:dyDescent="0.25">
      <c r="A20" s="2" t="s">
        <v>106</v>
      </c>
      <c r="B20" s="2">
        <v>35</v>
      </c>
    </row>
    <row r="21" spans="1:3" x14ac:dyDescent="0.25">
      <c r="A21" s="2" t="s">
        <v>107</v>
      </c>
      <c r="B21" s="2">
        <v>60</v>
      </c>
      <c r="C21" s="2">
        <v>30</v>
      </c>
    </row>
    <row r="22" spans="1:3" x14ac:dyDescent="0.25">
      <c r="A22" s="2" t="s">
        <v>105</v>
      </c>
      <c r="B22" s="2">
        <v>70</v>
      </c>
      <c r="C22" s="2">
        <v>40</v>
      </c>
    </row>
    <row r="23" spans="1:3" x14ac:dyDescent="0.25">
      <c r="A23" s="2" t="s">
        <v>106</v>
      </c>
      <c r="B23" s="2">
        <v>45</v>
      </c>
      <c r="C23" s="2">
        <v>55</v>
      </c>
    </row>
    <row r="24" spans="1:3" x14ac:dyDescent="0.25">
      <c r="A24" s="2" t="s">
        <v>108</v>
      </c>
      <c r="B24" s="2">
        <v>25</v>
      </c>
      <c r="C24" s="2">
        <v>70</v>
      </c>
    </row>
    <row r="25" spans="1:3" x14ac:dyDescent="0.25">
      <c r="A25" s="2" t="s">
        <v>109</v>
      </c>
      <c r="B25" s="2">
        <v>35</v>
      </c>
    </row>
    <row r="26" spans="1:3" x14ac:dyDescent="0.25">
      <c r="A26" s="2" t="s">
        <v>107</v>
      </c>
      <c r="B26" s="2">
        <v>60</v>
      </c>
      <c r="C26" s="2">
        <v>50</v>
      </c>
    </row>
    <row r="27" spans="1:3" x14ac:dyDescent="0.25">
      <c r="A27" s="2" t="s">
        <v>106</v>
      </c>
      <c r="B27" s="2">
        <v>80</v>
      </c>
      <c r="C27" s="2">
        <v>95</v>
      </c>
    </row>
    <row r="28" spans="1:3" x14ac:dyDescent="0.25">
      <c r="A28" s="2" t="s">
        <v>105</v>
      </c>
      <c r="B28" s="2">
        <v>40</v>
      </c>
      <c r="C28" s="2">
        <v>75</v>
      </c>
    </row>
    <row r="29" spans="1:3" x14ac:dyDescent="0.25">
      <c r="A29" s="2" t="s">
        <v>107</v>
      </c>
      <c r="B29" s="2">
        <v>65</v>
      </c>
      <c r="C29" s="2">
        <v>45</v>
      </c>
    </row>
    <row r="30" spans="1:3" x14ac:dyDescent="0.25">
      <c r="A30" s="2" t="s">
        <v>106</v>
      </c>
      <c r="B30" s="2">
        <v>55</v>
      </c>
      <c r="C30" s="2">
        <v>65</v>
      </c>
    </row>
    <row r="31" spans="1:3" x14ac:dyDescent="0.25">
      <c r="A31" s="2" t="s">
        <v>108</v>
      </c>
      <c r="B31" s="2">
        <v>70</v>
      </c>
      <c r="C31" s="2">
        <v>30</v>
      </c>
    </row>
    <row r="32" spans="1:3" x14ac:dyDescent="0.25">
      <c r="A32" s="2" t="s">
        <v>105</v>
      </c>
      <c r="B32" s="2">
        <v>45</v>
      </c>
    </row>
    <row r="33" spans="1:3" x14ac:dyDescent="0.25">
      <c r="A33" s="2" t="s">
        <v>106</v>
      </c>
      <c r="B33" s="2">
        <v>25</v>
      </c>
      <c r="C33" s="2">
        <v>80</v>
      </c>
    </row>
    <row r="34" spans="1:3" x14ac:dyDescent="0.25">
      <c r="A34" s="2" t="s">
        <v>107</v>
      </c>
      <c r="B34" s="2">
        <v>35</v>
      </c>
      <c r="C34" s="2">
        <v>60</v>
      </c>
    </row>
    <row r="35" spans="1:3" x14ac:dyDescent="0.25">
      <c r="A35" s="2" t="s">
        <v>105</v>
      </c>
      <c r="B35" s="2">
        <v>60</v>
      </c>
      <c r="C35" s="2">
        <v>100</v>
      </c>
    </row>
    <row r="36" spans="1:3" x14ac:dyDescent="0.25">
      <c r="A36" s="2" t="s">
        <v>106</v>
      </c>
      <c r="B36" s="2">
        <v>80</v>
      </c>
      <c r="C36" s="2">
        <v>30</v>
      </c>
    </row>
    <row r="37" spans="1:3" x14ac:dyDescent="0.25">
      <c r="A37" s="2" t="s">
        <v>108</v>
      </c>
      <c r="B37" s="2">
        <v>40</v>
      </c>
    </row>
    <row r="38" spans="1:3" x14ac:dyDescent="0.25">
      <c r="A38" s="2" t="s">
        <v>109</v>
      </c>
      <c r="B38" s="2">
        <v>65</v>
      </c>
      <c r="C38" s="2">
        <v>55</v>
      </c>
    </row>
    <row r="39" spans="1:3" x14ac:dyDescent="0.25">
      <c r="A39" s="2" t="s">
        <v>107</v>
      </c>
      <c r="B39" s="2">
        <v>55</v>
      </c>
      <c r="C39" s="2">
        <v>70</v>
      </c>
    </row>
    <row r="40" spans="1:3" x14ac:dyDescent="0.25">
      <c r="A40" s="2" t="s">
        <v>106</v>
      </c>
      <c r="B40" s="2">
        <v>70</v>
      </c>
      <c r="C40" s="2">
        <v>85</v>
      </c>
    </row>
    <row r="41" spans="1:3" x14ac:dyDescent="0.25">
      <c r="A41" s="2" t="s">
        <v>105</v>
      </c>
      <c r="B41" s="2">
        <v>40</v>
      </c>
      <c r="C41" s="2">
        <v>50</v>
      </c>
    </row>
    <row r="42" spans="1:3" x14ac:dyDescent="0.25">
      <c r="A42" s="2" t="s">
        <v>107</v>
      </c>
      <c r="B42" s="2">
        <v>20</v>
      </c>
      <c r="C42" s="2">
        <v>95</v>
      </c>
    </row>
    <row r="43" spans="1:3" x14ac:dyDescent="0.25">
      <c r="A43" s="2" t="s">
        <v>106</v>
      </c>
      <c r="B43" s="2">
        <v>90</v>
      </c>
      <c r="C43" s="2">
        <v>75</v>
      </c>
    </row>
    <row r="44" spans="1:3" x14ac:dyDescent="0.25">
      <c r="A44" s="2" t="s">
        <v>108</v>
      </c>
      <c r="B44" s="2">
        <v>50</v>
      </c>
      <c r="C44" s="2">
        <v>45</v>
      </c>
    </row>
    <row r="45" spans="1:3" x14ac:dyDescent="0.25">
      <c r="A45" s="2" t="s">
        <v>105</v>
      </c>
      <c r="B45" s="2">
        <v>60</v>
      </c>
      <c r="C45" s="2">
        <v>65</v>
      </c>
    </row>
    <row r="46" spans="1:3" x14ac:dyDescent="0.25">
      <c r="A46" s="2" t="s">
        <v>106</v>
      </c>
      <c r="B46" s="2">
        <v>45</v>
      </c>
    </row>
    <row r="47" spans="1:3" x14ac:dyDescent="0.2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Granzo</cp:lastModifiedBy>
  <dcterms:modified xsi:type="dcterms:W3CDTF">2026-02-11T10:10:54Z</dcterms:modified>
</cp:coreProperties>
</file>