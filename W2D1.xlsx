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berto\Desktop\PDF etc\Epicode - Data Analyst\M1 - Excel\Esercitazioni\W2\"/>
    </mc:Choice>
  </mc:AlternateContent>
  <xr:revisionPtr revIDLastSave="0" documentId="13_ncr:1_{A60D462C-13F9-4061-BC49-3094EBD564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otti" sheetId="1" r:id="rId1"/>
  </sheets>
  <definedNames>
    <definedName name="_xlnm._FilterDatabase" localSheetId="0" hidden="1">Prodotti!$A$1:$E$1</definedName>
    <definedName name="_xlnm.Print_Area" localSheetId="0">Prodotti!$A$1:$E$11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  <c r="E10" i="1"/>
  <c r="E6" i="1"/>
  <c r="E11" i="1"/>
  <c r="E7" i="1"/>
  <c r="E2" i="1"/>
  <c r="E3" i="1"/>
  <c r="E8" i="1"/>
  <c r="E4" i="1"/>
  <c r="E5" i="1"/>
  <c r="E9" i="1"/>
</calcChain>
</file>

<file path=xl/sharedStrings.xml><?xml version="1.0" encoding="utf-8"?>
<sst xmlns="http://schemas.openxmlformats.org/spreadsheetml/2006/main" count="31" uniqueCount="21">
  <si>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</si>
  <si>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</si>
  <si>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</si>
  <si>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</si>
  <si>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</si>
  <si>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</si>
  <si>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</si>
  <si>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</si>
  <si>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</si>
  <si>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</si>
  <si>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</si>
  <si>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</si>
  <si>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</si>
  <si>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</si>
  <si>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</si>
  <si>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</si>
  <si>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</si>
  <si>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</si>
  <si>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</si>
  <si>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Aziende</t>
  </si>
  <si>
    <t>Totale spese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</si>
</sst>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44" fontId="0" fillId="0" borderId="0" xfId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Spese AquaLux Dynamics</a:t>
            </a:r>
          </a:p>
        </c:rich>
      </c:tx>
      <c:layout>
        <c:manualLayout>
          <c:xMode val="edge"/>
          <c:yMode val="edge"/>
          <c:x val="0.2647845581802274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4F-4EF7-B28B-3B6522854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4F-4EF7-B28B-3B6522854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4F-4EF7-B28B-3B652285417E}"/>
              </c:ext>
            </c:extLst>
          </c:dPt>
          <c:cat>
            <c:strRef>
              <c:f>Prodotti!$B$2:$B$4</c:f>
              <c:strCache>
                <c:ptCount val="3"/>
                <c:pt idx="0">
                  <c:v>Crema</c:v>
                </c:pt>
                <c:pt idx="1">
                  <c:v>Acqua</c:v>
                </c:pt>
                <c:pt idx="2">
                  <c:v>Pianeta</c:v>
                </c:pt>
              </c:strCache>
            </c:strRef>
          </c:cat>
          <c:val>
            <c:numRef>
              <c:f>Prodotti!$E$2:$E$4</c:f>
              <c:numCache>
                <c:formatCode>#,##0.00\ "€"</c:formatCode>
                <c:ptCount val="3"/>
                <c:pt idx="0">
                  <c:v>13125</c:v>
                </c:pt>
                <c:pt idx="1">
                  <c:v>12600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39-49B7-9A43-65E81A186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FF4F-4EF7-B28B-3B652285417E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Prodotti!$B$2:$B$4</c15:sqref>
                        </c15:formulaRef>
                      </c:ext>
                    </c:extLst>
                    <c:strCache>
                      <c:ptCount val="3"/>
                      <c:pt idx="0">
                        <c:v>Crema</c:v>
                      </c:pt>
                      <c:pt idx="1">
                        <c:v>Acqua</c:v>
                      </c:pt>
                      <c:pt idx="2">
                        <c:v>Pianeta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Prodotti!$E$2</c15:sqref>
                        </c15:formulaRef>
                      </c:ext>
                    </c:extLst>
                    <c:numCache>
                      <c:formatCode>#,##0.00\ "€"</c:formatCode>
                      <c:ptCount val="1"/>
                      <c:pt idx="0">
                        <c:v>13125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B39-49B7-9A43-65E81A18628A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FF4F-4EF7-B28B-3B652285417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Prodotti!$B$2:$B$4</c15:sqref>
                        </c15:formulaRef>
                      </c:ext>
                    </c:extLst>
                    <c:strCache>
                      <c:ptCount val="3"/>
                      <c:pt idx="0">
                        <c:v>Crema</c:v>
                      </c:pt>
                      <c:pt idx="1">
                        <c:v>Acqua</c:v>
                      </c:pt>
                      <c:pt idx="2">
                        <c:v>Pianeta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Prodotti!$E$3</c15:sqref>
                        </c15:formulaRef>
                      </c:ext>
                    </c:extLst>
                    <c:numCache>
                      <c:formatCode>#,##0.00\ "€"</c:formatCode>
                      <c:ptCount val="1"/>
                      <c:pt idx="0">
                        <c:v>12600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B39-49B7-9A43-65E81A18628A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FF4F-4EF7-B28B-3B652285417E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Prodotti!$B$2:$B$4</c15:sqref>
                        </c15:formulaRef>
                      </c:ext>
                    </c:extLst>
                    <c:strCache>
                      <c:ptCount val="3"/>
                      <c:pt idx="0">
                        <c:v>Crema</c:v>
                      </c:pt>
                      <c:pt idx="1">
                        <c:v>Acqua</c:v>
                      </c:pt>
                      <c:pt idx="2">
                        <c:v>Pianeta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Prodotti!$E$4</c15:sqref>
                        </c15:formulaRef>
                      </c:ext>
                    </c:extLst>
                    <c:numCache>
                      <c:formatCode>#,##0.00\ "€"</c:formatCode>
                      <c:ptCount val="1"/>
                      <c:pt idx="0">
                        <c:v>12000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B39-49B7-9A43-65E81A18628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Prodotti!$A$5</c:f>
              <c:strCache>
                <c:ptCount val="1"/>
                <c:pt idx="0">
                  <c:v>EcoVibe Solutions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9A-43E1-A28A-1CB119A26BF1}"/>
              </c:ext>
            </c:extLst>
          </c:dPt>
          <c:cat>
            <c:strRef>
              <c:f>Prodotti!$B$5</c:f>
              <c:strCache>
                <c:ptCount val="1"/>
                <c:pt idx="0">
                  <c:v>Vibrazione</c:v>
                </c:pt>
              </c:strCache>
            </c:strRef>
          </c:cat>
          <c:val>
            <c:numRef>
              <c:f>Prodotti!$E$5</c:f>
              <c:numCache>
                <c:formatCode>#,##0.00\ "€"</c:formatCode>
                <c:ptCount val="1"/>
                <c:pt idx="0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A-4E2E-AA2F-55FC6836C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8C9A-43E1-A28A-1CB119A26BF1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Prodotti!$B$5</c15:sqref>
                        </c15:formulaRef>
                      </c:ext>
                    </c:extLst>
                    <c:strCache>
                      <c:ptCount val="1"/>
                      <c:pt idx="0">
                        <c:v>Vibrazione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Prodotti!$E$5</c15:sqref>
                        </c15:formulaRef>
                      </c:ext>
                    </c:extLst>
                    <c:numCache>
                      <c:formatCode>#,##0.00\ "€"</c:formatCode>
                      <c:ptCount val="1"/>
                      <c:pt idx="0">
                        <c:v>13500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1EA-4E2E-AA2F-55FC6836C261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Prodotti!$A$6</c:f>
              <c:strCache>
                <c:ptCount val="1"/>
                <c:pt idx="0">
                  <c:v>SolarTech Solutions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70-4C94-9663-16A508C7B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70-4C94-9663-16A508C7B1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70-4C94-9663-16A508C7B192}"/>
              </c:ext>
            </c:extLst>
          </c:dPt>
          <c:cat>
            <c:strRef>
              <c:f>Prodotti!$B$6:$B$8</c:f>
              <c:strCache>
                <c:ptCount val="3"/>
                <c:pt idx="0">
                  <c:v>Pannelli</c:v>
                </c:pt>
                <c:pt idx="1">
                  <c:v>Infinito</c:v>
                </c:pt>
                <c:pt idx="2">
                  <c:v>Orizzonte</c:v>
                </c:pt>
              </c:strCache>
            </c:strRef>
          </c:cat>
          <c:val>
            <c:numRef>
              <c:f>Prodotti!$E$6:$E$8</c:f>
              <c:numCache>
                <c:formatCode>#,##0.00\ "€"</c:formatCode>
                <c:ptCount val="3"/>
                <c:pt idx="0">
                  <c:v>9800</c:v>
                </c:pt>
                <c:pt idx="1">
                  <c:v>9750</c:v>
                </c:pt>
                <c:pt idx="2">
                  <c:v>11550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8-4DDA-9413-06BA05792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8E70-4C94-9663-16A508C7B19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8E70-4C94-9663-16A508C7B19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8E70-4C94-9663-16A508C7B192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Prodotti!$B$6:$B$8</c15:sqref>
                        </c15:formulaRef>
                      </c:ext>
                    </c:extLst>
                    <c:strCache>
                      <c:ptCount val="3"/>
                      <c:pt idx="0">
                        <c:v>Pannelli</c:v>
                      </c:pt>
                      <c:pt idx="1">
                        <c:v>Infinito</c:v>
                      </c:pt>
                      <c:pt idx="2">
                        <c:v>Orizzonte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Prodotti!$E$6:$E$8</c15:sqref>
                        </c15:formulaRef>
                      </c:ext>
                    </c:extLst>
                    <c:numCache>
                      <c:formatCode>#,##0.00\ "€"</c:formatCode>
                      <c:ptCount val="3"/>
                      <c:pt idx="0">
                        <c:v>9800</c:v>
                      </c:pt>
                      <c:pt idx="1">
                        <c:v>9750</c:v>
                      </c:pt>
                      <c:pt idx="2">
                        <c:v>11550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C68-4DDA-9413-06BA05792AA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Prodotti!$A$9</c:f>
              <c:strCache>
                <c:ptCount val="1"/>
                <c:pt idx="0">
                  <c:v>Tech Innovations Ltd.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D7-4876-B91B-AE68E10EBC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D7-4876-B91B-AE68E10EBC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D7-4876-B91B-AE68E10EBC7E}"/>
              </c:ext>
            </c:extLst>
          </c:dPt>
          <c:cat>
            <c:strRef>
              <c:f>Prodotti!$B$9:$B$11</c:f>
              <c:strCache>
                <c:ptCount val="3"/>
                <c:pt idx="0">
                  <c:v>Tecnologia</c:v>
                </c:pt>
                <c:pt idx="1">
                  <c:v>Cibo</c:v>
                </c:pt>
                <c:pt idx="2">
                  <c:v>Quanti</c:v>
                </c:pt>
              </c:strCache>
            </c:strRef>
          </c:cat>
          <c:val>
            <c:numRef>
              <c:f>Prodotti!$E$9:$E$11</c:f>
              <c:numCache>
                <c:formatCode>#,##0.00\ "€"</c:formatCode>
                <c:ptCount val="3"/>
                <c:pt idx="0">
                  <c:v>7875</c:v>
                </c:pt>
                <c:pt idx="1">
                  <c:v>10200</c:v>
                </c:pt>
                <c:pt idx="2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25-40D7-A6B2-644527923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63D7-4876-B91B-AE68E10EBC7E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Prodotti!$B$9:$B$11</c15:sqref>
                        </c15:formulaRef>
                      </c:ext>
                    </c:extLst>
                    <c:strCache>
                      <c:ptCount val="3"/>
                      <c:pt idx="0">
                        <c:v>Tecnologia</c:v>
                      </c:pt>
                      <c:pt idx="1">
                        <c:v>Cibo</c:v>
                      </c:pt>
                      <c:pt idx="2">
                        <c:v>Quanti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Prodotti!$A$9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A25-40D7-A6B2-644527923DB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Prodotti!$G$1</c:f>
              <c:strCache>
                <c:ptCount val="1"/>
                <c:pt idx="0">
                  <c:v>Totale spese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6-4DD7-97D0-B6B762D48A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A6-4DD7-97D0-B6B762D48A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A6-4DD7-97D0-B6B762D48A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A6-4DD7-97D0-B6B762D48A45}"/>
              </c:ext>
            </c:extLst>
          </c:dPt>
          <c:cat>
            <c:strRef>
              <c:f>Prodotti!$F$2:$F$5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Prodotti!$G$2:$G$5</c:f>
              <c:numCache>
                <c:formatCode>_("€"* #,##0.00_);_("€"* \(#,##0.00\);_("€"* "-"??_);_(@_)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B-46A4-8612-8A7C50353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Prodotti!$G$1</c:f>
              <c:strCache>
                <c:ptCount val="1"/>
                <c:pt idx="0">
                  <c:v>Totale spese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Prodotti!$F$2:$F$5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Prodotti!$G$2:$G$5</c:f>
              <c:numCache>
                <c:formatCode>_("€"* #,##0.00_);_("€"* \(#,##0.00\);_("€"* "-"??_);_(@_)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98-4289-8702-35A898F9B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07376"/>
        <c:axId val="148008336"/>
      </c:barChart>
      <c:catAx>
        <c:axId val="14800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008336"/>
        <c:crosses val="autoZero"/>
        <c:auto val="1"/>
        <c:lblAlgn val="ctr"/>
        <c:lblOffset val="100"/>
        <c:noMultiLvlLbl val="0"/>
      </c:catAx>
      <c:valAx>
        <c:axId val="14800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00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Prodotti!$A$2</c:f>
              <c:strCache>
                <c:ptCount val="1"/>
                <c:pt idx="0">
                  <c:v>AquaLux Dynamics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Prodotti!$B$2:$B$4</c:f>
              <c:strCache>
                <c:ptCount val="3"/>
                <c:pt idx="0">
                  <c:v>Crema</c:v>
                </c:pt>
                <c:pt idx="1">
                  <c:v>Acqua</c:v>
                </c:pt>
                <c:pt idx="2">
                  <c:v>Pianeta</c:v>
                </c:pt>
              </c:strCache>
            </c:strRef>
          </c:cat>
          <c:val>
            <c:numRef>
              <c:f>Prodotti!$E$2:$E$4</c:f>
              <c:numCache>
                <c:formatCode>#,##0.00\ "€"</c:formatCode>
                <c:ptCount val="3"/>
                <c:pt idx="0">
                  <c:v>13125</c:v>
                </c:pt>
                <c:pt idx="1">
                  <c:v>12600</c:v>
                </c:pt>
                <c:pt idx="2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6-4952-A7BC-4BECAADFC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014800"/>
        <c:axId val="2131782576"/>
      </c:barChart>
      <c:catAx>
        <c:axId val="212601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1782576"/>
        <c:crosses val="autoZero"/>
        <c:auto val="1"/>
        <c:lblAlgn val="ctr"/>
        <c:lblOffset val="100"/>
        <c:noMultiLvlLbl val="0"/>
      </c:catAx>
      <c:valAx>
        <c:axId val="213178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2601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Prodotti!$A$5</c:f>
              <c:strCache>
                <c:ptCount val="1"/>
                <c:pt idx="0">
                  <c:v>EcoVibe Solutions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Prodotti!$B$5</c:f>
              <c:strCache>
                <c:ptCount val="1"/>
                <c:pt idx="0">
                  <c:v>Vibrazione</c:v>
                </c:pt>
              </c:strCache>
            </c:strRef>
          </c:cat>
          <c:val>
            <c:numRef>
              <c:f>Prodotti!$E$5</c:f>
              <c:numCache>
                <c:formatCode>#,##0.00\ "€"</c:formatCode>
                <c:ptCount val="1"/>
                <c:pt idx="0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1-4DB1-8338-EB8C608F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761296"/>
        <c:axId val="1682260352"/>
      </c:barChart>
      <c:catAx>
        <c:axId val="168276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2260352"/>
        <c:crosses val="autoZero"/>
        <c:auto val="1"/>
        <c:lblAlgn val="ctr"/>
        <c:lblOffset val="100"/>
        <c:noMultiLvlLbl val="0"/>
      </c:catAx>
      <c:valAx>
        <c:axId val="16822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276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Prodotti!$A$6</c:f>
              <c:strCache>
                <c:ptCount val="1"/>
                <c:pt idx="0">
                  <c:v>SolarTech Solutions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Prodotti!$B$6:$B$8</c:f>
              <c:strCache>
                <c:ptCount val="3"/>
                <c:pt idx="0">
                  <c:v>Pannelli</c:v>
                </c:pt>
                <c:pt idx="1">
                  <c:v>Infinito</c:v>
                </c:pt>
                <c:pt idx="2">
                  <c:v>Orizzonte</c:v>
                </c:pt>
              </c:strCache>
            </c:strRef>
          </c:cat>
          <c:val>
            <c:numRef>
              <c:f>Prodotti!$E$6:$E$8</c:f>
              <c:numCache>
                <c:formatCode>#,##0.00\ "€"</c:formatCode>
                <c:ptCount val="3"/>
                <c:pt idx="0">
                  <c:v>9800</c:v>
                </c:pt>
                <c:pt idx="1">
                  <c:v>9750</c:v>
                </c:pt>
                <c:pt idx="2">
                  <c:v>11550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0-4AAD-9153-E8B1F6901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320976"/>
        <c:axId val="1681320496"/>
      </c:barChart>
      <c:catAx>
        <c:axId val="16813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1320496"/>
        <c:crosses val="autoZero"/>
        <c:auto val="1"/>
        <c:lblAlgn val="ctr"/>
        <c:lblOffset val="100"/>
        <c:noMultiLvlLbl val="0"/>
      </c:catAx>
      <c:valAx>
        <c:axId val="168132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813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Prodotti!$A$9</c:f>
              <c:strCache>
                <c:ptCount val="1"/>
                <c:pt idx="0">
                  <c:v>Tech Innovations Ltd.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Prodotti!$B$9:$B$11</c:f>
              <c:strCache>
                <c:ptCount val="3"/>
                <c:pt idx="0">
                  <c:v>Tecnologia</c:v>
                </c:pt>
                <c:pt idx="1">
                  <c:v>Cibo</c:v>
                </c:pt>
                <c:pt idx="2">
                  <c:v>Quanti</c:v>
                </c:pt>
              </c:strCache>
            </c:strRef>
          </c:cat>
          <c:val>
            <c:numRef>
              <c:f>Prodotti!$E$9:$E$11</c:f>
              <c:numCache>
                <c:formatCode>#,##0.00\ "€"</c:formatCode>
                <c:ptCount val="3"/>
                <c:pt idx="0">
                  <c:v>7875</c:v>
                </c:pt>
                <c:pt idx="1">
                  <c:v>10200</c:v>
                </c:pt>
                <c:pt idx="2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F-4278-B994-802D489F0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002224"/>
        <c:axId val="2131005584"/>
      </c:barChart>
      <c:catAx>
        <c:axId val="213100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1005584"/>
        <c:crosses val="autoZero"/>
        <c:auto val="1"/>
        <c:lblAlgn val="ctr"/>
        <c:lblOffset val="100"/>
        <c:noMultiLvlLbl val="0"/>
      </c:catAx>
      <c:valAx>
        <c:axId val="213100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100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708660</xdr:colOff>
      <xdr:row>12</xdr:row>
      <xdr:rowOff>133350</xdr:rowOff>
    </xdr:from>
    <xdr:to>
      <xdr:col>11</xdr:col>
      <xdr:colOff>312420</xdr:colOff>
      <xdr:row>25</xdr:row>
      <xdr:rowOff>129540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EFF9E0E-EC1C-E0A1-D62B-0E12ECFDE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670560</xdr:colOff>
      <xdr:row>26</xdr:row>
      <xdr:rowOff>7620</xdr:rowOff>
    </xdr:from>
    <xdr:to>
      <xdr:col>11</xdr:col>
      <xdr:colOff>342900</xdr:colOff>
      <xdr:row>39</xdr:row>
      <xdr:rowOff>83820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7D81D50-7DEF-726E-5A66-86E943B1E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358140</xdr:colOff>
      <xdr:row>12</xdr:row>
      <xdr:rowOff>129540</xdr:rowOff>
    </xdr:from>
    <xdr:to>
      <xdr:col>14</xdr:col>
      <xdr:colOff>739140</xdr:colOff>
      <xdr:row>25</xdr:row>
      <xdr:rowOff>152400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BC42AE0-02F9-AD9F-56F8-B2B5AAB4F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396240</xdr:colOff>
      <xdr:row>26</xdr:row>
      <xdr:rowOff>0</xdr:rowOff>
    </xdr:from>
    <xdr:to>
      <xdr:col>14</xdr:col>
      <xdr:colOff>716280</xdr:colOff>
      <xdr:row>39</xdr:row>
      <xdr:rowOff>76200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414A2BCD-38DE-2660-5C87-5F325FE63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175260</xdr:colOff>
      <xdr:row>0</xdr:row>
      <xdr:rowOff>167640</xdr:rowOff>
    </xdr:from>
    <xdr:to>
      <xdr:col>10</xdr:col>
      <xdr:colOff>60960</xdr:colOff>
      <xdr:row>11</xdr:row>
      <xdr:rowOff>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EA944395-E84C-92AE-26E7-F58F75F8C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396240</xdr:colOff>
      <xdr:row>0</xdr:row>
      <xdr:rowOff>171450</xdr:rowOff>
    </xdr:from>
    <xdr:to>
      <xdr:col>15</xdr:col>
      <xdr:colOff>510540</xdr:colOff>
      <xdr:row>11</xdr:row>
      <xdr:rowOff>7620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1C066834-2A58-AA81-DDCB-4A3912F6E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266700</xdr:colOff>
      <xdr:row>14</xdr:row>
      <xdr:rowOff>7620</xdr:rowOff>
    </xdr:from>
    <xdr:to>
      <xdr:col>3</xdr:col>
      <xdr:colOff>525780</xdr:colOff>
      <xdr:row>27</xdr:row>
      <xdr:rowOff>68580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71FF2C99-5B84-CC95-51BE-60B5B81F0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1371600</xdr:colOff>
      <xdr:row>14</xdr:row>
      <xdr:rowOff>0</xdr:rowOff>
    </xdr:from>
    <xdr:to>
      <xdr:col>5</xdr:col>
      <xdr:colOff>1203960</xdr:colOff>
      <xdr:row>27</xdr:row>
      <xdr:rowOff>22860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F193E5F4-58C3-6BFA-AD53-763A50C54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274320</xdr:colOff>
      <xdr:row>27</xdr:row>
      <xdr:rowOff>83820</xdr:rowOff>
    </xdr:from>
    <xdr:to>
      <xdr:col>2</xdr:col>
      <xdr:colOff>1402080</xdr:colOff>
      <xdr:row>41</xdr:row>
      <xdr:rowOff>106680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46E2A26A-3D49-3110-AC1D-E3FD9B28E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1463040</xdr:colOff>
      <xdr:row>27</xdr:row>
      <xdr:rowOff>76200</xdr:rowOff>
    </xdr:from>
    <xdr:to>
      <xdr:col>6</xdr:col>
      <xdr:colOff>121920</xdr:colOff>
      <xdr:row>41</xdr:row>
      <xdr:rowOff>129540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4A19B4B5-90C1-623D-EADD-8D985A83A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"/>
  <sheetViews>
    <sheetView tabSelected="1" zoomScaleNormal="100" workbookViewId="0">
      <selection activeCell="O51" sqref="O51"/>
    </sheetView>
  </sheetViews>
  <sheetFormatPr defaultColWidth="12.6640625" defaultRowHeight="15.75" customHeight="1" x14ac:dyDescent="0.25"/>
  <cols>
    <col min="1" max="1" width="19.77734375" customWidth="1"/>
    <col min="2" max="3" width="22.33203125" customWidth="1"/>
    <col min="4" max="4" width="24" customWidth="1"/>
    <col min="6" max="6" width="18.44140625" bestFit="1" customWidth="1"/>
    <col min="7" max="7" width="13.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12</v>
      </c>
      <c r="B2" s="2" t="s">
        <v>13</v>
      </c>
      <c r="C2" s="3">
        <v>700</v>
      </c>
      <c r="D2" s="4">
        <v>18.75</v>
      </c>
      <c r="E2" s="5">
        <f t="shared" ref="E2:E11" si="0">D2*C2</f>
        <v>13125</v>
      </c>
      <c r="F2" s="2" t="s">
        <v>5</v>
      </c>
      <c r="G2" s="6">
        <f>SUMIF($A$2:$A$11,F2,$E$2:$E$11)</f>
        <v>25575</v>
      </c>
    </row>
    <row r="3" spans="1:26" x14ac:dyDescent="0.25">
      <c r="A3" s="2" t="s">
        <v>12</v>
      </c>
      <c r="B3" s="2" t="s">
        <v>14</v>
      </c>
      <c r="C3" s="3">
        <v>900</v>
      </c>
      <c r="D3" s="4">
        <v>14</v>
      </c>
      <c r="E3" s="5">
        <f t="shared" si="0"/>
        <v>12600</v>
      </c>
      <c r="F3" s="2" t="s">
        <v>8</v>
      </c>
      <c r="G3" s="6">
        <f t="shared" ref="G3:G5" si="1">SUMIF($A$2:$A$11,F3,$E$2:$E$11)</f>
        <v>31100</v>
      </c>
    </row>
    <row r="4" spans="1:26" x14ac:dyDescent="0.25">
      <c r="A4" s="2" t="s">
        <v>12</v>
      </c>
      <c r="B4" s="2" t="s">
        <v>16</v>
      </c>
      <c r="C4" s="3">
        <v>600</v>
      </c>
      <c r="D4" s="4">
        <v>20</v>
      </c>
      <c r="E4" s="5">
        <f t="shared" si="0"/>
        <v>12000</v>
      </c>
      <c r="F4" s="2" t="s">
        <v>12</v>
      </c>
      <c r="G4" s="6">
        <f t="shared" si="1"/>
        <v>37725</v>
      </c>
    </row>
    <row r="5" spans="1:26" x14ac:dyDescent="0.25">
      <c r="A5" s="2" t="s">
        <v>17</v>
      </c>
      <c r="B5" s="2" t="s">
        <v>18</v>
      </c>
      <c r="C5" s="3">
        <v>1000</v>
      </c>
      <c r="D5" s="4">
        <v>13.5</v>
      </c>
      <c r="E5" s="5">
        <f t="shared" si="0"/>
        <v>13500</v>
      </c>
      <c r="F5" s="2" t="s">
        <v>17</v>
      </c>
      <c r="G5" s="6">
        <f t="shared" si="1"/>
        <v>13500</v>
      </c>
    </row>
    <row r="6" spans="1:26" x14ac:dyDescent="0.25">
      <c r="A6" s="2" t="s">
        <v>8</v>
      </c>
      <c r="B6" s="2" t="s">
        <v>9</v>
      </c>
      <c r="C6" s="3">
        <v>800</v>
      </c>
      <c r="D6" s="4">
        <v>12.25</v>
      </c>
      <c r="E6" s="5">
        <f t="shared" si="0"/>
        <v>9800</v>
      </c>
    </row>
    <row r="7" spans="1:26" x14ac:dyDescent="0.25">
      <c r="A7" s="2" t="s">
        <v>8</v>
      </c>
      <c r="B7" s="2" t="s">
        <v>11</v>
      </c>
      <c r="C7" s="3">
        <v>1500</v>
      </c>
      <c r="D7" s="4">
        <v>6.5</v>
      </c>
      <c r="E7" s="5">
        <f t="shared" si="0"/>
        <v>9750</v>
      </c>
    </row>
    <row r="8" spans="1:26" x14ac:dyDescent="0.25">
      <c r="A8" s="2" t="s">
        <v>8</v>
      </c>
      <c r="B8" s="2" t="s">
        <v>15</v>
      </c>
      <c r="C8" s="3">
        <v>1100</v>
      </c>
      <c r="D8" s="4">
        <v>10.5</v>
      </c>
      <c r="E8" s="5">
        <f t="shared" si="0"/>
        <v>11550</v>
      </c>
    </row>
    <row r="9" spans="1:26" x14ac:dyDescent="0.25">
      <c r="A9" s="2" t="s">
        <v>5</v>
      </c>
      <c r="B9" s="2" t="s">
        <v>6</v>
      </c>
      <c r="C9" s="3">
        <v>500</v>
      </c>
      <c r="D9" s="4">
        <v>15.75</v>
      </c>
      <c r="E9" s="5">
        <f t="shared" si="0"/>
        <v>7875</v>
      </c>
    </row>
    <row r="10" spans="1:26" x14ac:dyDescent="0.25">
      <c r="A10" s="2" t="s">
        <v>5</v>
      </c>
      <c r="B10" s="2" t="s">
        <v>7</v>
      </c>
      <c r="C10" s="3">
        <v>1200</v>
      </c>
      <c r="D10" s="4">
        <v>8.5</v>
      </c>
      <c r="E10" s="5">
        <f t="shared" si="0"/>
        <v>10200</v>
      </c>
    </row>
    <row r="11" spans="1:26" x14ac:dyDescent="0.25">
      <c r="A11" s="2" t="s">
        <v>5</v>
      </c>
      <c r="B11" s="2" t="s">
        <v>10</v>
      </c>
      <c r="C11" s="3">
        <v>300</v>
      </c>
      <c r="D11" s="4">
        <v>25</v>
      </c>
      <c r="E11" s="5">
        <f t="shared" si="0"/>
        <v>7500</v>
      </c>
    </row>
  </sheetData>
  <autoFilter ref="A1:E1" xr:uid="{00000000-0001-0000-0000-000000000000}">
    <sortState xmlns:xlrd2="http://schemas.microsoft.com/office/spreadsheetml/2017/richdata2" ref="A2:E11">
      <sortCondition ref="A1"/>
    </sortState>
  </autoFilter>
  <pageMargins left="0.19685039370078741" right="0.19685039370078741" top="0.39370078740157483" bottom="0.39370078740157483" header="0.31496062992125984" footer="0.31496062992125984"/>
  <pageSetup paperSize="9" orientation="portrait" r:id="rId1"/>
  <headerFooter>
    <oddHeader>&amp;CSpese Recenti</oddHeader>
  </headerFooter>
  <rowBreaks count="2" manualBreakCount="2">
    <brk id="12" max="16383" man="1"/>
    <brk id="47" max="16383" man="1"/>
  </rowBreaks>
  <colBreaks count="2" manualBreakCount="2">
    <brk id="7" max="1048575" man="1"/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Granzo</cp:lastModifiedBy>
  <dcterms:modified xsi:type="dcterms:W3CDTF">2026-02-26T13:02:29Z</dcterms:modified>
</cp:coreProperties>
</file>